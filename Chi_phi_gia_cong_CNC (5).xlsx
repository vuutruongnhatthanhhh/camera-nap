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DonGia" sheetId="2" state="visible" r:id="rId2"/>
    <sheet xmlns:r="http://schemas.openxmlformats.org/officeDocument/2006/relationships" name="VatLieu" sheetId="3" state="visible" r:id="rId3"/>
    <sheet xmlns:r="http://schemas.openxmlformats.org/officeDocument/2006/relationships" name="CongDoan" sheetId="4" state="visible" r:id="rId4"/>
    <sheet xmlns:r="http://schemas.openxmlformats.org/officeDocument/2006/relationships" name="TinhGia" sheetId="5" state="visible" r:id="rId5"/>
    <sheet xmlns:r="http://schemas.openxmlformats.org/officeDocument/2006/relationships" name="_DS" sheetId="6" state="hidden" r:id="rId6"/>
  </sheets>
  <definedNames>
    <definedName name="DS_CongDoan">OFFSET('_DS'!$B$2,0,0,MAX(1,'_DS'!$H$2),1)</definedName>
    <definedName name="DS_VatLieu">OFFSET('_DS'!$D$2,0,0,MAX(1,'_DS'!$H$3),1)</definedName>
    <definedName name="DS_MaHang">OFFSET('_DS'!$F$2,0,0,MAX(1,'_DS'!$H$4),1)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;\-#,##0"/>
  </numFmts>
  <fonts count="4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5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rgb="FF17365D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D9EAF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164" fontId="0" fillId="2" borderId="0" pivotButton="0" quotePrefix="0" xfId="0"/>
    <xf numFmtId="164" fontId="0" fillId="0" borderId="1" pivotButton="0" quotePrefix="0" xfId="0"/>
    <xf numFmtId="164" fontId="0" fillId="0" borderId="0" pivotButton="0" quotePrefix="0" xfId="0"/>
    <xf numFmtId="164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horizontal="right" vertical="center" wrapText="1"/>
    </xf>
    <xf numFmtId="164" fontId="0" fillId="4" borderId="2" pivotButton="0" quotePrefix="0" xfId="0"/>
    <xf numFmtId="164" fontId="0" fillId="5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0" fillId="5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164" fontId="2" fillId="3" borderId="4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4" fontId="0" fillId="0" borderId="5" applyAlignment="1" pivotButton="0" quotePrefix="0" xfId="0">
      <alignment vertical="top" wrapText="1"/>
    </xf>
    <xf numFmtId="164" fontId="3" fillId="6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3" fillId="6" borderId="6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6" applyAlignment="1" pivotButton="0" quotePrefix="0" xfId="0">
      <alignment vertical="top" wrapText="1"/>
    </xf>
    <xf numFmtId="0" fontId="0" fillId="0" borderId="6" pivotButton="0" quotePrefix="0" xfId="0"/>
    <xf numFmtId="164" fontId="1" fillId="3" borderId="0" applyAlignment="1" pivotButton="0" quotePrefix="0" xfId="0">
      <alignment vertical="top" wrapText="1"/>
    </xf>
    <xf numFmtId="164" fontId="0" fillId="0" borderId="0" pivotButton="0" quotePrefix="0" xfId="0"/>
    <xf numFmtId="164" fontId="1" fillId="2" borderId="1" applyAlignment="1" pivotButton="0" quotePrefix="0" xfId="0">
      <alignment vertical="top" wrapText="1"/>
    </xf>
    <xf numFmtId="164" fontId="0" fillId="2" borderId="1" pivotButton="0" quotePrefix="0" xfId="0"/>
    <xf numFmtId="164" fontId="0" fillId="2" borderId="0" pivotButton="0" quotePrefix="0" xfId="0"/>
    <xf numFmtId="164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pivotButton="0" quotePrefix="0" xfId="0"/>
    <xf numFmtId="164" fontId="1" fillId="3" borderId="0" applyAlignment="1" pivotButton="0" quotePrefix="0" xfId="0">
      <alignment vertical="top" wrapText="1"/>
    </xf>
    <xf numFmtId="164" fontId="2" fillId="3" borderId="4" applyAlignment="1" pivotButton="0" quotePrefix="0" xfId="0">
      <alignment vertical="top" wrapText="1"/>
    </xf>
    <xf numFmtId="0" fontId="2" fillId="3" borderId="4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4" fontId="3" fillId="6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5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164" fontId="0" fillId="0" borderId="1" pivotButton="0" quotePrefix="0" xfId="0"/>
    <xf numFmtId="164" fontId="0" fillId="2" borderId="0" pivotButton="0" quotePrefix="0" xfId="0"/>
    <xf numFmtId="164" fontId="1" fillId="2" borderId="1" applyAlignment="1" pivotButton="0" quotePrefix="0" xfId="0">
      <alignment vertical="top" wrapText="1"/>
    </xf>
    <xf numFmtId="0" fontId="0" fillId="0" borderId="11" pivotButton="0" quotePrefix="0" xfId="0"/>
    <xf numFmtId="164" fontId="2" fillId="3" borderId="1" applyAlignment="1" pivotButton="0" quotePrefix="0" xfId="0">
      <alignment vertical="top" wrapText="1"/>
    </xf>
    <xf numFmtId="164" fontId="0" fillId="4" borderId="2" pivotButton="0" quotePrefix="0" xfId="0"/>
    <xf numFmtId="164" fontId="0" fillId="5" borderId="3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  <xf numFmtId="164" fontId="2" fillId="3" borderId="1" applyAlignment="1" pivotButton="0" quotePrefix="0" xfId="0">
      <alignment horizontal="right" vertical="center" wrapText="1"/>
    </xf>
    <xf numFmtId="164" fontId="0" fillId="4" borderId="2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Q8" sqref="Q8"/>
    </sheetView>
  </sheetViews>
  <sheetFormatPr baseColWidth="8" defaultColWidth="9" defaultRowHeight="15"/>
  <cols>
    <col width="20" customWidth="1" style="21" min="1" max="1"/>
    <col width="25" customWidth="1" style="21" min="2" max="5"/>
  </cols>
  <sheetData>
    <row r="1" ht="27.95" customHeight="1" s="21">
      <c r="A1" s="20" t="inlineStr">
        <is>
          <t>NAP | FILE TÍNH GIÁ GIA CÔNG CNC</t>
        </is>
      </c>
    </row>
    <row r="3" ht="33.95" customHeight="1" s="21">
      <c r="A3" s="19" t="inlineStr">
        <is>
          <t>Mục tiêu</t>
        </is>
      </c>
      <c r="B3" s="22" t="inlineStr">
        <is>
          <t>Tính giá thành và giá bán dự kiến cho đơn hàng có nhiều công đoạn.</t>
        </is>
      </c>
      <c r="C3" s="31" t="n"/>
      <c r="D3" s="31" t="n"/>
      <c r="E3" s="32" t="n"/>
    </row>
    <row r="4" ht="33.95" customHeight="1" s="21">
      <c r="A4" s="19" t="inlineStr">
        <is>
          <t>Bước 1</t>
        </is>
      </c>
      <c r="B4" s="22" t="inlineStr">
        <is>
          <t>đơn giá giờ máy, setup, chi phí chung, dự phòng và margin trong DonGia. theo máy móc</t>
        </is>
      </c>
      <c r="C4" s="31" t="n"/>
      <c r="D4" s="31" t="n"/>
      <c r="E4" s="32" t="n"/>
    </row>
    <row r="5" ht="33.95" customHeight="1" s="21">
      <c r="A5" s="19" t="inlineStr">
        <is>
          <t>Bước 2</t>
        </is>
      </c>
      <c r="B5" s="22" t="inlineStr">
        <is>
          <t>Cập nhật giá vật liệu và tỷ lệ hao hụt trong VatLieu. hàng tháng</t>
        </is>
      </c>
      <c r="C5" s="31" t="n"/>
      <c r="D5" s="31" t="n"/>
      <c r="E5" s="32" t="n"/>
    </row>
    <row r="6" ht="33.95" customHeight="1" s="21">
      <c r="A6" s="19" t="inlineStr">
        <is>
          <t>Bước 3</t>
        </is>
      </c>
      <c r="B6" s="22" t="inlineStr">
        <is>
          <t>Nhập mã hàng, số lượng, vật liệu, khối lượng phôi/cái trong TinhGia.</t>
        </is>
      </c>
      <c r="C6" s="31" t="n"/>
      <c r="D6" s="31" t="n"/>
      <c r="E6" s="32" t="n"/>
    </row>
    <row r="7" ht="33.95" customHeight="1" s="21">
      <c r="A7" s="19" t="inlineStr">
        <is>
          <t>Bước 4</t>
        </is>
      </c>
      <c r="B7" s="22" t="inlineStr">
        <is>
          <t>Mỗi dòng ở CongDoan là một OP; mã hàng phải trùng TinhGia.</t>
        </is>
      </c>
      <c r="C7" s="31" t="n"/>
      <c r="D7" s="31" t="n"/>
      <c r="E7" s="32" t="n"/>
    </row>
    <row r="8" ht="33.95" customHeight="1" s="21">
      <c r="A8" s="19" t="inlineStr">
        <is>
          <t>Bước 5</t>
        </is>
      </c>
      <c r="B8" s="22" t="inlineStr">
        <is>
          <t>Xem giá thành/cái, giá bán/cái và tổng giá bán tại TinhGia.</t>
        </is>
      </c>
      <c r="C8" s="31" t="n"/>
      <c r="D8" s="31" t="n"/>
      <c r="E8" s="32" t="n"/>
    </row>
    <row r="9" ht="33.95" customHeight="1" s="21">
      <c r="A9" s="19" t="inlineStr">
        <is>
          <t>Chú ý</t>
        </is>
      </c>
      <c r="B9" s="22" t="inlineStr">
        <is>
          <t>Nếu giờ máy đã gồm thợ vận hành, để nhân công riêng = 0 để tránh tính trùng.</t>
        </is>
      </c>
      <c r="C9" s="31" t="n"/>
      <c r="D9" s="31" t="n"/>
      <c r="E9" s="32" t="n"/>
    </row>
    <row r="10" ht="33.95" customHeight="1" s="21">
      <c r="A10" s="19" t="inlineStr">
        <is>
          <t>Công thức</t>
        </is>
      </c>
      <c r="B10" s="22" t="inlineStr">
        <is>
          <t>Giá bán = Giá thành / (1 - margin%). Các mức cài sẵn chỉ là tham khảo, cần thay theo dữ liệu NAP.</t>
        </is>
      </c>
      <c r="C10" s="31" t="n"/>
      <c r="D10" s="31" t="n"/>
      <c r="E10" s="32" t="n"/>
    </row>
    <row r="11">
      <c r="A11" s="19" t="inlineStr">
        <is>
          <t>Danh sách chọn</t>
        </is>
      </c>
      <c r="B11" s="22" t="inlineStr">
        <is>
          <t>Cột Công đoạn (CongDoan) lấy từ DonGia, cột Vật liệu (TinhGia) lấy từ VatLieu, cột Mã hàng (TinhGia) lấy từ CongDoan — tự cập nhật khi thêm/sửa. Ô tô đỏ = giá trị không còn trong danh sách gốc, cần chọn lại.</t>
        </is>
      </c>
    </row>
  </sheetData>
  <mergeCells count="9">
    <mergeCell ref="B9:E9"/>
    <mergeCell ref="B8:E8"/>
    <mergeCell ref="B4:E4"/>
    <mergeCell ref="B6:E6"/>
    <mergeCell ref="B7:E7"/>
    <mergeCell ref="A1:E1"/>
    <mergeCell ref="B3:E3"/>
    <mergeCell ref="B5:E5"/>
    <mergeCell ref="B10:E10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I30"/>
  <sheetViews>
    <sheetView showGridLines="0" tabSelected="1" workbookViewId="0">
      <pane ySplit="3" topLeftCell="A4" activePane="bottomLeft" state="frozen"/>
      <selection pane="bottomLeft" activeCell="A6" sqref="A6"/>
    </sheetView>
  </sheetViews>
  <sheetFormatPr baseColWidth="8" defaultColWidth="9" defaultRowHeight="15"/>
  <cols>
    <col width="32" customWidth="1" style="33" min="1" max="1"/>
    <col width="22" customWidth="1" style="33" min="2" max="2"/>
    <col width="20" customWidth="1" style="33" min="3" max="3"/>
    <col width="24" customWidth="1" style="33" min="4" max="4"/>
    <col width="45" customWidth="1" style="33" min="5" max="5"/>
    <col width="9" customWidth="1" style="33" min="6" max="16384"/>
    <col width="32" customWidth="1" style="21" min="7" max="7"/>
    <col width="12" customWidth="1" style="21" min="8" max="8"/>
    <col width="28" customWidth="1" style="21" min="9" max="9"/>
  </cols>
  <sheetData>
    <row r="1" ht="27.95" customHeight="1" s="21">
      <c r="A1" s="34" t="inlineStr">
        <is>
          <t>NAP | DANH MỤC ĐƠN GIÁ THAM KHẢO - CÓ THỂ SỬA</t>
        </is>
      </c>
    </row>
    <row r="3">
      <c r="A3" s="35" t="inlineStr">
        <is>
          <t>Công đoạn</t>
        </is>
      </c>
      <c r="B3" s="35" t="inlineStr">
        <is>
          <t>Giờ máy (đ/h)</t>
        </is>
      </c>
      <c r="C3" s="35" t="inlineStr">
        <is>
          <t>Setup (đ/h)</t>
        </is>
      </c>
      <c r="D3" s="35" t="inlineStr">
        <is>
          <t>Nhân công riêng (đ/h)</t>
        </is>
      </c>
      <c r="E3" s="35" t="inlineStr">
        <is>
          <t>Ghi chú</t>
        </is>
      </c>
      <c r="G3" s="36" t="inlineStr">
        <is>
          <t>Tham số</t>
        </is>
      </c>
      <c r="H3" s="36" t="inlineStr">
        <is>
          <t>Giá trị</t>
        </is>
      </c>
      <c r="I3" s="36" t="inlineStr">
        <is>
          <t>Ghi chú</t>
        </is>
      </c>
    </row>
    <row r="4">
      <c r="A4" s="37" t="inlineStr">
        <is>
          <t>Tiện CNC</t>
        </is>
      </c>
      <c r="B4" s="37" t="n">
        <v>280000</v>
      </c>
      <c r="C4" s="37" t="n">
        <v>180000</v>
      </c>
      <c r="D4" s="37" t="n">
        <v>0</v>
      </c>
      <c r="E4" s="37" t="n"/>
      <c r="G4" s="38" t="inlineStr">
        <is>
          <t>Chi phí chung (%)</t>
        </is>
      </c>
      <c r="H4" s="39" t="n">
        <v>8</v>
      </c>
      <c r="I4" s="33" t="inlineStr">
        <is>
          <t>Chi phí vật tư tiêu hao</t>
        </is>
      </c>
    </row>
    <row r="5">
      <c r="A5" s="37" t="inlineStr">
        <is>
          <t>Phay cơ</t>
        </is>
      </c>
      <c r="B5" s="37" t="n">
        <v>320000</v>
      </c>
      <c r="C5" s="37" t="n">
        <v>200000</v>
      </c>
      <c r="D5" s="37" t="n">
        <v>0</v>
      </c>
      <c r="E5" s="37" t="inlineStr"/>
      <c r="G5" s="38" t="inlineStr">
        <is>
          <t>Dự phòng phế phẩm/làm lại (%)</t>
        </is>
      </c>
      <c r="H5" s="39" t="n">
        <v>4</v>
      </c>
      <c r="I5" s="33" t="inlineStr">
        <is>
          <t>Chi phí dự phòng</t>
        </is>
      </c>
    </row>
    <row r="6">
      <c r="A6" s="37" t="inlineStr">
        <is>
          <t>Phay CNC 4 trục</t>
        </is>
      </c>
      <c r="B6" s="37" t="n">
        <v>460000</v>
      </c>
      <c r="C6" s="37" t="n">
        <v>250000</v>
      </c>
      <c r="D6" s="37" t="n">
        <v>0</v>
      </c>
      <c r="E6" s="37" t="inlineStr"/>
      <c r="G6" s="38" t="inlineStr">
        <is>
          <t>Lợi nhuận trên doanh thu (%)</t>
        </is>
      </c>
      <c r="H6" s="39" t="n">
        <v>35</v>
      </c>
    </row>
    <row r="7">
      <c r="A7" s="37" t="inlineStr">
        <is>
          <t>Phay CNC 5 trục</t>
        </is>
      </c>
      <c r="B7" s="37" t="n">
        <v>1100000</v>
      </c>
      <c r="C7" s="37" t="n">
        <v>400000</v>
      </c>
      <c r="D7" s="37" t="n">
        <v>0</v>
      </c>
      <c r="E7" s="37" t="inlineStr"/>
    </row>
    <row r="8">
      <c r="A8" s="37" t="inlineStr">
        <is>
          <t>Mài phẳng</t>
        </is>
      </c>
      <c r="B8" s="37" t="n">
        <v>250000</v>
      </c>
      <c r="C8" s="37" t="n">
        <v>150000</v>
      </c>
      <c r="D8" s="37" t="n">
        <v>0</v>
      </c>
      <c r="E8" s="37" t="inlineStr"/>
    </row>
    <row r="9">
      <c r="A9" s="37" t="inlineStr">
        <is>
          <t>Mài tròn</t>
        </is>
      </c>
      <c r="B9" s="37" t="n">
        <v>300000</v>
      </c>
      <c r="C9" s="37" t="n">
        <v>180000</v>
      </c>
      <c r="D9" s="37" t="n">
        <v>0</v>
      </c>
      <c r="E9" s="37" t="inlineStr"/>
    </row>
    <row r="10">
      <c r="A10" s="37" t="inlineStr">
        <is>
          <t>Cắt dây EDM</t>
        </is>
      </c>
      <c r="B10" s="37" t="n">
        <v>400000</v>
      </c>
      <c r="C10" s="37" t="n">
        <v>210000</v>
      </c>
      <c r="D10" s="37" t="n">
        <v>0</v>
      </c>
      <c r="E10" s="37" t="inlineStr">
        <is>
          <t>Tùy chiều cao, chiều dài, số lượt cắt</t>
        </is>
      </c>
    </row>
    <row r="11">
      <c r="A11" s="37" t="inlineStr">
        <is>
          <t>Khoan CNC</t>
        </is>
      </c>
      <c r="B11" s="37" t="n">
        <v>150000</v>
      </c>
      <c r="C11" s="37" t="n">
        <v>110000</v>
      </c>
      <c r="D11" s="37" t="n">
        <v>0</v>
      </c>
      <c r="E11" s="37" t="inlineStr">
        <is>
          <t>Tùy vật liệu, số lỗ, độ sâu</t>
        </is>
      </c>
    </row>
    <row r="12">
      <c r="A12" s="37" t="inlineStr">
        <is>
          <t>Taro CNC</t>
        </is>
      </c>
      <c r="B12" s="37" t="n">
        <v>180000</v>
      </c>
      <c r="C12" s="37" t="n">
        <v>120000</v>
      </c>
      <c r="D12" s="37" t="n">
        <v>0</v>
      </c>
      <c r="E12" s="37" t="inlineStr">
        <is>
          <t>Tùy vật liệu, số lỗ, độ sâu</t>
        </is>
      </c>
    </row>
    <row r="13">
      <c r="A13" s="37" t="inlineStr">
        <is>
          <t>Khoan/taro máy cơ</t>
        </is>
      </c>
      <c r="B13" s="37" t="n">
        <v>120000</v>
      </c>
      <c r="C13" s="37" t="n">
        <v>60000</v>
      </c>
      <c r="D13" s="37" t="n">
        <v>0</v>
      </c>
      <c r="E13" s="37" t="inlineStr">
        <is>
          <t>Tùy vật liệu, số lỗ, độ sâu</t>
        </is>
      </c>
    </row>
    <row r="14">
      <c r="A14" s="37" t="inlineStr">
        <is>
          <t>Cưa phôi</t>
        </is>
      </c>
      <c r="B14" s="37" t="n">
        <v>120000</v>
      </c>
      <c r="C14" s="37" t="n">
        <v>50000</v>
      </c>
      <c r="D14" s="37" t="n">
        <v>0</v>
      </c>
      <c r="E14" s="37" t="inlineStr">
        <is>
          <t>Tùy vật liệu</t>
        </is>
      </c>
    </row>
    <row r="15">
      <c r="A15" s="37" t="inlineStr">
        <is>
          <t>Phá ba via/hoàn thiện</t>
        </is>
      </c>
      <c r="B15" s="37" t="n">
        <v>100000</v>
      </c>
      <c r="C15" s="37" t="n">
        <v>40000</v>
      </c>
      <c r="D15" s="37" t="n">
        <v>100000</v>
      </c>
      <c r="E15" s="37" t="inlineStr">
        <is>
          <t>Có thể tính nhân công riêng</t>
        </is>
      </c>
    </row>
    <row r="16">
      <c r="A16" s="37" t="inlineStr">
        <is>
          <t>QC/đo kiểm</t>
        </is>
      </c>
      <c r="B16" s="37" t="n">
        <v>150000</v>
      </c>
      <c r="C16" s="37" t="n">
        <v>100000</v>
      </c>
      <c r="D16" s="37" t="n">
        <v>150000</v>
      </c>
      <c r="E16" s="37" t="inlineStr"/>
    </row>
    <row r="17">
      <c r="A17" s="40" t="inlineStr">
        <is>
          <t>abnnnn</t>
        </is>
      </c>
      <c r="B17" s="40" t="n"/>
      <c r="C17" s="40" t="n"/>
      <c r="D17" s="40" t="n"/>
      <c r="E17" s="40" t="n"/>
    </row>
    <row r="18">
      <c r="A18" s="41" t="inlineStr">
        <is>
          <t>Gia công ngoài</t>
        </is>
      </c>
      <c r="B18" s="41" t="n">
        <v>0</v>
      </c>
      <c r="C18" s="41" t="n">
        <v>0</v>
      </c>
      <c r="D18" s="41" t="n">
        <v>0</v>
      </c>
      <c r="E18" s="41" t="inlineStr">
        <is>
          <t>Nhập chi phí thực tế ở CongDoan</t>
        </is>
      </c>
    </row>
    <row r="21"/>
    <row r="22"/>
    <row r="23"/>
    <row r="30"/>
  </sheetData>
  <mergeCells count="1"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D13"/>
  <sheetViews>
    <sheetView showGridLines="0" workbookViewId="0">
      <pane ySplit="3" topLeftCell="A4" activePane="bottomLeft" state="frozen"/>
      <selection pane="bottomLeft" activeCell="C24" sqref="C24"/>
    </sheetView>
  </sheetViews>
  <sheetFormatPr baseColWidth="8" defaultColWidth="9" defaultRowHeight="15"/>
  <cols>
    <col width="22" customWidth="1" style="33" min="1" max="1"/>
    <col width="25" customWidth="1" style="33" min="2" max="2"/>
    <col width="18" customWidth="1" style="33" min="3" max="3"/>
    <col width="38" customWidth="1" style="33" min="4" max="4"/>
    <col width="9" customWidth="1" style="33" min="5" max="16384"/>
  </cols>
  <sheetData>
    <row r="1" ht="27.95" customHeight="1" s="21">
      <c r="A1" s="34" t="inlineStr">
        <is>
          <t>NAP | DANH MỤC VẬT LIỆU THAM KHẢO</t>
        </is>
      </c>
    </row>
    <row r="3">
      <c r="A3" s="42" t="inlineStr">
        <is>
          <t>Vật liệu</t>
        </is>
      </c>
      <c r="B3" s="42" t="inlineStr">
        <is>
          <t>Giá tham khảo (đ/kg)</t>
        </is>
      </c>
      <c r="C3" s="42" t="inlineStr">
        <is>
          <t>Hao hụt (%)</t>
        </is>
      </c>
      <c r="D3" s="42" t="inlineStr">
        <is>
          <t>Ghi chú</t>
        </is>
      </c>
    </row>
    <row r="4">
      <c r="A4" s="43" t="inlineStr">
        <is>
          <t>SUS304</t>
        </is>
      </c>
      <c r="B4" s="43" t="n">
        <v>80000</v>
      </c>
      <c r="C4" s="43" t="n">
        <v>10</v>
      </c>
      <c r="D4" s="43" t="inlineStr">
        <is>
          <t>Cập nhật báo giá NCC</t>
        </is>
      </c>
    </row>
    <row r="5">
      <c r="A5" s="43" t="inlineStr">
        <is>
          <t>SUS316</t>
        </is>
      </c>
      <c r="B5" s="43" t="n">
        <v>130000</v>
      </c>
      <c r="C5" s="43" t="n">
        <v>10</v>
      </c>
      <c r="D5" s="43" t="inlineStr"/>
    </row>
    <row r="6">
      <c r="A6" s="43" t="inlineStr">
        <is>
          <t>Thép S45C</t>
        </is>
      </c>
      <c r="B6" s="43" t="n">
        <v>25000</v>
      </c>
      <c r="C6" s="43" t="n">
        <v>10</v>
      </c>
      <c r="D6" s="43" t="inlineStr"/>
    </row>
    <row r="7">
      <c r="A7" s="43" t="inlineStr">
        <is>
          <t>SKD11</t>
        </is>
      </c>
      <c r="B7" s="43" t="n">
        <v>280000</v>
      </c>
      <c r="C7" s="43" t="n">
        <v>10</v>
      </c>
      <c r="D7" s="43" t="inlineStr"/>
    </row>
    <row r="8">
      <c r="A8" s="43" t="inlineStr">
        <is>
          <t>SKD61</t>
        </is>
      </c>
      <c r="B8" s="43" t="n">
        <v>290000</v>
      </c>
      <c r="C8" s="43" t="n">
        <v>10</v>
      </c>
      <c r="D8" s="43" t="inlineStr"/>
    </row>
    <row r="9">
      <c r="A9" s="43" t="inlineStr">
        <is>
          <t>Nhôm 6061</t>
        </is>
      </c>
      <c r="B9" s="43" t="n">
        <v>180000</v>
      </c>
      <c r="C9" s="43" t="n">
        <v>12</v>
      </c>
      <c r="D9" s="43" t="inlineStr"/>
    </row>
    <row r="10">
      <c r="A10" s="43" t="inlineStr">
        <is>
          <t>Đồng</t>
        </is>
      </c>
      <c r="B10" s="43" t="n">
        <v>360000</v>
      </c>
      <c r="C10" s="43" t="n">
        <v>15</v>
      </c>
      <c r="D10" s="43" t="inlineStr"/>
    </row>
    <row r="11">
      <c r="A11" s="43" t="inlineStr">
        <is>
          <t>Nhựa POM</t>
        </is>
      </c>
      <c r="B11" s="43" t="n">
        <v>260000</v>
      </c>
      <c r="C11" s="43" t="n">
        <v>12</v>
      </c>
      <c r="D11" s="43" t="inlineStr"/>
    </row>
    <row r="12">
      <c r="A12" s="43" t="inlineStr">
        <is>
          <t>Phíp cam</t>
        </is>
      </c>
      <c r="B12" s="43" t="n">
        <v>360000</v>
      </c>
      <c r="C12" s="43" t="n">
        <v>12</v>
      </c>
      <c r="D12" s="43" t="n"/>
    </row>
    <row r="13">
      <c r="A13" s="43" t="inlineStr">
        <is>
          <t>Khác</t>
        </is>
      </c>
      <c r="B13" s="43" t="n">
        <v>0</v>
      </c>
      <c r="C13" s="43" t="n">
        <v>0</v>
      </c>
      <c r="D13" s="43" t="inlineStr">
        <is>
          <t>Nhập giá thực tế</t>
        </is>
      </c>
    </row>
  </sheetData>
  <mergeCells count="1">
    <mergeCell ref="A1:D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N199"/>
  <sheetViews>
    <sheetView showGridLines="0" workbookViewId="0">
      <pane ySplit="3" topLeftCell="A4" activePane="bottomLeft" state="frozen"/>
      <selection pane="bottomLeft" activeCell="C6" sqref="C6"/>
    </sheetView>
  </sheetViews>
  <sheetFormatPr baseColWidth="8" defaultColWidth="9" defaultRowHeight="15"/>
  <cols>
    <col width="8.28515625" customWidth="1" style="44" min="1" max="1"/>
    <col width="11" customWidth="1" style="44" min="2" max="2"/>
    <col width="23.85546875" customWidth="1" style="44" min="3" max="3"/>
    <col width="12" customWidth="1" style="33" min="4" max="4"/>
    <col width="10.7109375" customWidth="1" style="44" min="5" max="5"/>
    <col width="15.85546875" customWidth="1" style="44" min="6" max="6"/>
    <col width="13.42578125" customWidth="1" style="44" min="7" max="7"/>
    <col width="11" customWidth="1" style="44" min="8" max="8"/>
    <col width="23.140625" customWidth="1" style="44" min="9" max="9"/>
    <col width="20" customWidth="1" style="33" min="10" max="10"/>
    <col width="20" customWidth="1" style="44" min="11" max="11"/>
    <col width="24" customWidth="1" style="44" min="12" max="12"/>
    <col width="22" customWidth="1" style="44" min="13" max="13"/>
    <col width="20" customWidth="1" style="33" min="14" max="14"/>
    <col width="9" customWidth="1" style="33" min="15" max="16384"/>
  </cols>
  <sheetData>
    <row r="1" ht="27.95" customFormat="1" customHeight="1" s="45">
      <c r="A1" s="46" t="inlineStr">
        <is>
          <t>BẢNG NHẬP CÔNG ĐOẠN</t>
        </is>
      </c>
      <c r="N1" s="47" t="n"/>
    </row>
    <row r="2"/>
    <row r="3" ht="30" customHeight="1" s="21">
      <c r="A3" s="48" t="inlineStr">
        <is>
          <t>Mã hàng</t>
        </is>
      </c>
      <c r="B3" s="48" t="inlineStr">
        <is>
          <t>Mã-OP</t>
        </is>
      </c>
      <c r="C3" s="48" t="inlineStr">
        <is>
          <t>Công đoạn</t>
        </is>
      </c>
      <c r="D3" s="42" t="inlineStr">
        <is>
          <t>SL đơn hàng</t>
        </is>
      </c>
      <c r="E3" s="48" t="inlineStr">
        <is>
          <t>Setup (giờ)</t>
        </is>
      </c>
      <c r="F3" s="48" t="inlineStr">
        <is>
          <t>Chu kỳ (phút/cái)</t>
        </is>
      </c>
      <c r="G3" s="48" t="inlineStr">
        <is>
          <t>Giờ máy (đ/h)</t>
        </is>
      </c>
      <c r="H3" s="48" t="inlineStr">
        <is>
          <t>Setup (đ/h)</t>
        </is>
      </c>
      <c r="I3" s="48" t="inlineStr">
        <is>
          <t>Nhân công riêng (giờ/cái)</t>
        </is>
      </c>
      <c r="J3" s="42" t="inlineStr">
        <is>
          <t>Nhân công (đ/h)</t>
        </is>
      </c>
      <c r="K3" s="48" t="inlineStr">
        <is>
          <t>Dao cụ (đ/cái)</t>
        </is>
      </c>
      <c r="L3" s="48" t="inlineStr">
        <is>
          <t>Gia công ngoài (đ/cái)</t>
        </is>
      </c>
      <c r="M3" s="48" t="inlineStr">
        <is>
          <t>Tổng OP/lô (đ)</t>
        </is>
      </c>
      <c r="N3" s="42" t="inlineStr">
        <is>
          <t>OP/cái (đ)</t>
        </is>
      </c>
    </row>
    <row r="4">
      <c r="A4" s="49" t="inlineStr">
        <is>
          <t>Bro1</t>
        </is>
      </c>
      <c r="B4" s="49" t="n">
        <v>1</v>
      </c>
      <c r="C4" s="49" t="inlineStr">
        <is>
          <t>Phay CNC 3 trục</t>
        </is>
      </c>
      <c r="D4" s="50" t="n">
        <v>3</v>
      </c>
      <c r="E4" s="49" t="n">
        <v>1</v>
      </c>
      <c r="F4" s="49" t="n">
        <v>20</v>
      </c>
      <c r="G4" s="51">
        <f>IF(C4="","",IFERROR(VLOOKUP(C4,DonGia!$A$4:$D$203,2,FALSE),0))</f>
        <v>0</v>
      </c>
      <c r="H4" s="51">
        <f>IF(C4="","",IFERROR(VLOOKUP(C4,DonGia!$A$4:$D$203,3,FALSE),0))</f>
        <v>0</v>
      </c>
      <c r="I4" s="49" t="n"/>
      <c r="J4" s="50">
        <f>IF(C4="","",IFERROR(VLOOKUP(C4,DonGia!$A$4:$D$203,4,FALSE),0))</f>
        <v>0</v>
      </c>
      <c r="K4" s="49" t="n"/>
      <c r="L4" s="49" t="n"/>
      <c r="M4" s="51">
        <f>IF(A4="","",E4*H4+D4*F4/60*G4+D4*I4*J4+D4*K4+D4*L4)</f>
        <v>0</v>
      </c>
      <c r="N4" s="50">
        <f>IFERROR(M4/D4,0)</f>
        <v>0</v>
      </c>
    </row>
    <row r="5">
      <c r="A5" s="49" t="inlineStr">
        <is>
          <t>Bro1</t>
        </is>
      </c>
      <c r="B5" s="49" t="n">
        <v>2</v>
      </c>
      <c r="C5" s="49" t="inlineStr">
        <is>
          <t>Mài phẳng</t>
        </is>
      </c>
      <c r="D5" s="50" t="n">
        <v>3</v>
      </c>
      <c r="E5" s="49" t="n">
        <v>0.5</v>
      </c>
      <c r="F5" s="49" t="n">
        <v>10</v>
      </c>
      <c r="G5" s="51">
        <f>IF(C5="","",IFERROR(VLOOKUP(C5,DonGia!$A$4:$D$203,2,FALSE),0))</f>
        <v>250000</v>
      </c>
      <c r="H5" s="51">
        <f>IF(C5="","",IFERROR(VLOOKUP(C5,DonGia!$A$4:$D$203,3,FALSE),0))</f>
        <v>150000</v>
      </c>
      <c r="I5" s="49" t="n"/>
      <c r="J5" s="50">
        <f>IF(C5="","",IFERROR(VLOOKUP(C5,DonGia!$A$4:$D$203,4,FALSE),0))</f>
        <v>0</v>
      </c>
      <c r="K5" s="49" t="n"/>
      <c r="L5" s="49" t="n"/>
      <c r="M5" s="51">
        <f>IF(A5="","",E5*H5+D5*F5/60*G5+D5*I5*J5+D5*K5+D5*L5)</f>
        <v>200000</v>
      </c>
      <c r="N5" s="50">
        <f>IFERROR(M5/D5,0)</f>
        <v>66666.6666666667</v>
      </c>
    </row>
    <row r="6">
      <c r="A6" s="49" t="inlineStr">
        <is>
          <t>Bro1</t>
        </is>
      </c>
      <c r="B6" s="49" t="n">
        <v>3</v>
      </c>
      <c r="C6" s="49" t="inlineStr">
        <is>
          <t>Gia công ngoài</t>
        </is>
      </c>
      <c r="D6" s="50" t="n">
        <v>3</v>
      </c>
      <c r="E6" s="49" t="n"/>
      <c r="F6" s="49" t="n"/>
      <c r="G6" s="51">
        <f>IF(C6="","",IFERROR(VLOOKUP(C6,DonGia!$A$4:$D$203,2,FALSE),0))</f>
        <v>0</v>
      </c>
      <c r="H6" s="51">
        <f>IF(C6="","",IFERROR(VLOOKUP(C6,DonGia!$A$4:$D$203,3,FALSE),0))</f>
        <v>0</v>
      </c>
      <c r="I6" s="49" t="n"/>
      <c r="J6" s="50">
        <f>IF(C6="","",IFERROR(VLOOKUP(C6,DonGia!$A$4:$D$203,4,FALSE),0))</f>
        <v>0</v>
      </c>
      <c r="K6" s="49" t="n"/>
      <c r="L6" s="49" t="n">
        <v>150000</v>
      </c>
      <c r="M6" s="51">
        <f>IF(A6="","",E6*H6+D6*F6/60*G6+D6*I6*J6+D6*K6+D6*L6)</f>
        <v>450000</v>
      </c>
      <c r="N6" s="50">
        <f>IFERROR(M6/D6,0)</f>
        <v>150000</v>
      </c>
    </row>
    <row r="7">
      <c r="A7" s="49" t="n"/>
      <c r="B7" s="49" t="n"/>
      <c r="C7" s="49" t="n"/>
      <c r="D7" s="50" t="str">
        <f>IF(A7="","",IFERROR(VLOOKUP(A7,TinhGia!$A$4:$B$53,2,FALSE),0))</f>
        <v/>
      </c>
      <c r="E7" s="49" t="n"/>
      <c r="F7" s="49" t="n"/>
      <c r="G7" s="51" t="str">
        <f>IF(C7="","",IFERROR(VLOOKUP(C7,DonGia!$A$4:$D$203,2,FALSE),0))</f>
        <v/>
      </c>
      <c r="H7" s="51" t="str">
        <f>IF(C7="","",IFERROR(VLOOKUP(C7,DonGia!$A$4:$D$203,3,FALSE),0))</f>
        <v/>
      </c>
      <c r="I7" s="49" t="n"/>
      <c r="J7" s="50" t="str">
        <f>IF(C7="","",IFERROR(VLOOKUP(C7,DonGia!$A$4:$D$203,4,FALSE),0))</f>
        <v/>
      </c>
      <c r="K7" s="49" t="n"/>
      <c r="L7" s="49" t="n"/>
      <c r="M7" s="51" t="str">
        <f>IF(A7="","",E7*H7+D7*F7/60*G7+D7*I7*J7+D7*K7+D7*L7)</f>
        <v/>
      </c>
      <c r="N7" s="50">
        <f>IFERROR(M7/D7,0)</f>
        <v>0</v>
      </c>
    </row>
    <row r="8">
      <c r="A8" s="49" t="n"/>
      <c r="B8" s="49" t="n"/>
      <c r="C8" s="49" t="n"/>
      <c r="D8" s="50" t="str">
        <f>IF(A8="","",IFERROR(VLOOKUP(A8,TinhGia!$A$4:$B$53,2,FALSE),0))</f>
        <v/>
      </c>
      <c r="E8" s="49" t="n"/>
      <c r="F8" s="49" t="n"/>
      <c r="G8" s="51" t="str">
        <f>IF(C8="","",IFERROR(VLOOKUP(C8,DonGia!$A$4:$D$203,2,FALSE),0))</f>
        <v/>
      </c>
      <c r="H8" s="51" t="str">
        <f>IF(C8="","",IFERROR(VLOOKUP(C8,DonGia!$A$4:$D$203,3,FALSE),0))</f>
        <v/>
      </c>
      <c r="I8" s="49" t="n"/>
      <c r="J8" s="50" t="str">
        <f>IF(C8="","",IFERROR(VLOOKUP(C8,DonGia!$A$4:$D$203,4,FALSE),0))</f>
        <v/>
      </c>
      <c r="K8" s="49" t="n"/>
      <c r="L8" s="49" t="n"/>
      <c r="M8" s="51" t="str">
        <f>IF(A8="","",E8*H8+D8*F8/60*G8+D8*I8*J8+D8*K8+D8*L8)</f>
        <v/>
      </c>
      <c r="N8" s="50">
        <f>IFERROR(M8/D8,0)</f>
        <v>0</v>
      </c>
    </row>
    <row r="9">
      <c r="A9" s="49" t="n"/>
      <c r="B9" s="49" t="n"/>
      <c r="C9" s="49" t="n"/>
      <c r="D9" s="50" t="str">
        <f>IF(A9="","",IFERROR(VLOOKUP(A9,TinhGia!$A$4:$B$53,2,FALSE),0))</f>
        <v/>
      </c>
      <c r="E9" s="49" t="n"/>
      <c r="F9" s="49" t="n"/>
      <c r="G9" s="51" t="str">
        <f>IF(C9="","",IFERROR(VLOOKUP(C9,DonGia!$A$4:$D$203,2,FALSE),0))</f>
        <v/>
      </c>
      <c r="H9" s="51" t="str">
        <f>IF(C9="","",IFERROR(VLOOKUP(C9,DonGia!$A$4:$D$203,3,FALSE),0))</f>
        <v/>
      </c>
      <c r="I9" s="49" t="n"/>
      <c r="J9" s="50" t="str">
        <f>IF(C9="","",IFERROR(VLOOKUP(C9,DonGia!$A$4:$D$203,4,FALSE),0))</f>
        <v/>
      </c>
      <c r="K9" s="49" t="n"/>
      <c r="L9" s="49" t="n"/>
      <c r="M9" s="51" t="str">
        <f>IF(A9="","",E9*H9+D9*F9/60*G9+D9*I9*J9+D9*K9+D9*L9)</f>
        <v/>
      </c>
      <c r="N9" s="50">
        <f>IFERROR(M9/D9,0)</f>
        <v>0</v>
      </c>
    </row>
    <row r="10">
      <c r="A10" s="49" t="n"/>
      <c r="B10" s="49" t="n"/>
      <c r="C10" s="49" t="n"/>
      <c r="D10" s="50" t="str">
        <f>IF(A10="","",IFERROR(VLOOKUP(A10,TinhGia!$A$4:$B$53,2,FALSE),0))</f>
        <v/>
      </c>
      <c r="E10" s="49" t="n"/>
      <c r="F10" s="49" t="n"/>
      <c r="G10" s="51" t="str">
        <f>IF(C10="","",IFERROR(VLOOKUP(C10,DonGia!$A$4:$D$203,2,FALSE),0))</f>
        <v/>
      </c>
      <c r="H10" s="51" t="str">
        <f>IF(C10="","",IFERROR(VLOOKUP(C10,DonGia!$A$4:$D$203,3,FALSE),0))</f>
        <v/>
      </c>
      <c r="I10" s="49" t="n"/>
      <c r="J10" s="50" t="str">
        <f>IF(C10="","",IFERROR(VLOOKUP(C10,DonGia!$A$4:$D$203,4,FALSE),0))</f>
        <v/>
      </c>
      <c r="K10" s="49" t="n"/>
      <c r="L10" s="49" t="n"/>
      <c r="M10" s="51" t="str">
        <f>IF(A10="","",E10*H10+D10*F10/60*G10+D10*I10*J10+D10*K10+D10*L10)</f>
        <v/>
      </c>
      <c r="N10" s="50">
        <f>IFERROR(M10/D10,0)</f>
        <v>0</v>
      </c>
    </row>
    <row r="11">
      <c r="A11" s="49" t="n"/>
      <c r="B11" s="49" t="n"/>
      <c r="C11" s="49" t="n"/>
      <c r="D11" s="50" t="str">
        <f>IF(A11="","",IFERROR(VLOOKUP(A11,TinhGia!$A$4:$B$53,2,FALSE),0))</f>
        <v/>
      </c>
      <c r="E11" s="49" t="n"/>
      <c r="F11" s="49" t="n"/>
      <c r="G11" s="51" t="str">
        <f>IF(C11="","",IFERROR(VLOOKUP(C11,DonGia!$A$4:$D$203,2,FALSE),0))</f>
        <v/>
      </c>
      <c r="H11" s="51" t="str">
        <f>IF(C11="","",IFERROR(VLOOKUP(C11,DonGia!$A$4:$D$203,3,FALSE),0))</f>
        <v/>
      </c>
      <c r="I11" s="49" t="n"/>
      <c r="J11" s="50" t="str">
        <f>IF(C11="","",IFERROR(VLOOKUP(C11,DonGia!$A$4:$D$203,4,FALSE),0))</f>
        <v/>
      </c>
      <c r="K11" s="49" t="n"/>
      <c r="L11" s="49" t="n"/>
      <c r="M11" s="51" t="str">
        <f>IF(A11="","",E11*H11+D11*F11/60*G11+D11*I11*J11+D11*K11+D11*L11)</f>
        <v/>
      </c>
      <c r="N11" s="50">
        <f>IFERROR(M11/D11,0)</f>
        <v>0</v>
      </c>
    </row>
    <row r="12">
      <c r="A12" s="49" t="n"/>
      <c r="B12" s="49" t="n"/>
      <c r="C12" s="49" t="n"/>
      <c r="D12" s="50" t="str">
        <f>IF(A12="","",IFERROR(VLOOKUP(A12,TinhGia!$A$4:$B$53,2,FALSE),0))</f>
        <v/>
      </c>
      <c r="E12" s="49" t="n"/>
      <c r="F12" s="49" t="n"/>
      <c r="G12" s="51" t="str">
        <f>IF(C12="","",IFERROR(VLOOKUP(C12,DonGia!$A$4:$D$203,2,FALSE),0))</f>
        <v/>
      </c>
      <c r="H12" s="51" t="str">
        <f>IF(C12="","",IFERROR(VLOOKUP(C12,DonGia!$A$4:$D$203,3,FALSE),0))</f>
        <v/>
      </c>
      <c r="I12" s="49" t="n"/>
      <c r="J12" s="50" t="str">
        <f>IF(C12="","",IFERROR(VLOOKUP(C12,DonGia!$A$4:$D$203,4,FALSE),0))</f>
        <v/>
      </c>
      <c r="K12" s="49" t="n"/>
      <c r="L12" s="49" t="n"/>
      <c r="M12" s="51" t="str">
        <f>IF(A12="","",E12*H12+D12*F12/60*G12+D12*I12*J12+D12*K12+D12*L12)</f>
        <v/>
      </c>
      <c r="N12" s="50">
        <f>IFERROR(M12/D12,0)</f>
        <v>0</v>
      </c>
    </row>
    <row r="13">
      <c r="A13" s="49" t="n"/>
      <c r="B13" s="49" t="n"/>
      <c r="C13" s="49" t="n"/>
      <c r="D13" s="50" t="str">
        <f>IF(A13="","",IFERROR(VLOOKUP(A13,TinhGia!$A$4:$B$53,2,FALSE),0))</f>
        <v/>
      </c>
      <c r="E13" s="49" t="n"/>
      <c r="F13" s="49" t="n"/>
      <c r="G13" s="51" t="str">
        <f>IF(C13="","",IFERROR(VLOOKUP(C13,DonGia!$A$4:$D$203,2,FALSE),0))</f>
        <v/>
      </c>
      <c r="H13" s="51" t="str">
        <f>IF(C13="","",IFERROR(VLOOKUP(C13,DonGia!$A$4:$D$203,3,FALSE),0))</f>
        <v/>
      </c>
      <c r="I13" s="49" t="n"/>
      <c r="J13" s="50" t="str">
        <f>IF(C13="","",IFERROR(VLOOKUP(C13,DonGia!$A$4:$D$203,4,FALSE),0))</f>
        <v/>
      </c>
      <c r="K13" s="49" t="n"/>
      <c r="L13" s="49" t="n"/>
      <c r="M13" s="51" t="str">
        <f>IF(A13="","",E13*H13+D13*F13/60*G13+D13*I13*J13+D13*K13+D13*L13)</f>
        <v/>
      </c>
      <c r="N13" s="50">
        <f>IFERROR(M13/D13,0)</f>
        <v>0</v>
      </c>
    </row>
    <row r="14">
      <c r="A14" s="49" t="n"/>
      <c r="B14" s="49" t="n"/>
      <c r="C14" s="49" t="n"/>
      <c r="D14" s="50" t="str">
        <f>IF(A14="","",IFERROR(VLOOKUP(A14,TinhGia!$A$4:$B$53,2,FALSE),0))</f>
        <v/>
      </c>
      <c r="E14" s="49" t="n"/>
      <c r="F14" s="49" t="n"/>
      <c r="G14" s="51" t="str">
        <f>IF(C14="","",IFERROR(VLOOKUP(C14,DonGia!$A$4:$D$203,2,FALSE),0))</f>
        <v/>
      </c>
      <c r="H14" s="51" t="str">
        <f>IF(C14="","",IFERROR(VLOOKUP(C14,DonGia!$A$4:$D$203,3,FALSE),0))</f>
        <v/>
      </c>
      <c r="I14" s="49" t="n"/>
      <c r="J14" s="50" t="str">
        <f>IF(C14="","",IFERROR(VLOOKUP(C14,DonGia!$A$4:$D$203,4,FALSE),0))</f>
        <v/>
      </c>
      <c r="K14" s="49" t="n"/>
      <c r="L14" s="49" t="n"/>
      <c r="M14" s="51" t="str">
        <f>IF(A14="","",E14*H14+D14*F14/60*G14+D14*I14*J14+D14*K14+D14*L14)</f>
        <v/>
      </c>
      <c r="N14" s="50">
        <f>IFERROR(M14/D14,0)</f>
        <v>0</v>
      </c>
    </row>
    <row r="15">
      <c r="A15" s="49" t="n"/>
      <c r="B15" s="49" t="n"/>
      <c r="C15" s="49" t="n"/>
      <c r="D15" s="50" t="str">
        <f>IF(A15="","",IFERROR(VLOOKUP(A15,TinhGia!$A$4:$B$53,2,FALSE),0))</f>
        <v/>
      </c>
      <c r="E15" s="49" t="n"/>
      <c r="F15" s="49" t="n"/>
      <c r="G15" s="51" t="str">
        <f>IF(C15="","",IFERROR(VLOOKUP(C15,DonGia!$A$4:$D$203,2,FALSE),0))</f>
        <v/>
      </c>
      <c r="H15" s="51" t="str">
        <f>IF(C15="","",IFERROR(VLOOKUP(C15,DonGia!$A$4:$D$203,3,FALSE),0))</f>
        <v/>
      </c>
      <c r="I15" s="49" t="n"/>
      <c r="J15" s="50" t="str">
        <f>IF(C15="","",IFERROR(VLOOKUP(C15,DonGia!$A$4:$D$203,4,FALSE),0))</f>
        <v/>
      </c>
      <c r="K15" s="49" t="n"/>
      <c r="L15" s="49" t="n"/>
      <c r="M15" s="51" t="str">
        <f>IF(A15="","",E15*H15+D15*F15/60*G15+D15*I15*J15+D15*K15+D15*L15)</f>
        <v/>
      </c>
      <c r="N15" s="50">
        <f>IFERROR(M15/D15,0)</f>
        <v>0</v>
      </c>
    </row>
    <row r="16">
      <c r="A16" s="49" t="n"/>
      <c r="B16" s="49" t="n"/>
      <c r="C16" s="49" t="n"/>
      <c r="D16" s="50" t="str">
        <f>IF(A16="","",IFERROR(VLOOKUP(A16,TinhGia!$A$4:$B$53,2,FALSE),0))</f>
        <v/>
      </c>
      <c r="E16" s="49" t="n"/>
      <c r="F16" s="49" t="n"/>
      <c r="G16" s="51" t="str">
        <f>IF(C16="","",IFERROR(VLOOKUP(C16,DonGia!$A$4:$D$203,2,FALSE),0))</f>
        <v/>
      </c>
      <c r="H16" s="51" t="str">
        <f>IF(C16="","",IFERROR(VLOOKUP(C16,DonGia!$A$4:$D$203,3,FALSE),0))</f>
        <v/>
      </c>
      <c r="I16" s="49" t="n"/>
      <c r="J16" s="50" t="str">
        <f>IF(C16="","",IFERROR(VLOOKUP(C16,DonGia!$A$4:$D$203,4,FALSE),0))</f>
        <v/>
      </c>
      <c r="K16" s="49" t="n"/>
      <c r="L16" s="49" t="n"/>
      <c r="M16" s="51" t="str">
        <f>IF(A16="","",E16*H16+D16*F16/60*G16+D16*I16*J16+D16*K16+D16*L16)</f>
        <v/>
      </c>
      <c r="N16" s="50">
        <f>IFERROR(M16/D16,0)</f>
        <v>0</v>
      </c>
    </row>
    <row r="17">
      <c r="A17" s="49" t="n"/>
      <c r="B17" s="49" t="n"/>
      <c r="C17" s="49" t="n"/>
      <c r="D17" s="50" t="str">
        <f>IF(A17="","",IFERROR(VLOOKUP(A17,TinhGia!$A$4:$B$53,2,FALSE),0))</f>
        <v/>
      </c>
      <c r="E17" s="49" t="n"/>
      <c r="F17" s="49" t="n"/>
      <c r="G17" s="51" t="str">
        <f>IF(C17="","",IFERROR(VLOOKUP(C17,DonGia!$A$4:$D$203,2,FALSE),0))</f>
        <v/>
      </c>
      <c r="H17" s="51" t="str">
        <f>IF(C17="","",IFERROR(VLOOKUP(C17,DonGia!$A$4:$D$203,3,FALSE),0))</f>
        <v/>
      </c>
      <c r="I17" s="49" t="n"/>
      <c r="J17" s="50" t="str">
        <f>IF(C17="","",IFERROR(VLOOKUP(C17,DonGia!$A$4:$D$203,4,FALSE),0))</f>
        <v/>
      </c>
      <c r="K17" s="49" t="n"/>
      <c r="L17" s="49" t="n"/>
      <c r="M17" s="51" t="str">
        <f>IF(A17="","",E17*H17+D17*F17/60*G17+D17*I17*J17+D17*K17+D17*L17)</f>
        <v/>
      </c>
      <c r="N17" s="50">
        <f>IFERROR(M17/D17,0)</f>
        <v>0</v>
      </c>
    </row>
    <row r="18">
      <c r="A18" s="49" t="n"/>
      <c r="B18" s="49" t="n"/>
      <c r="C18" s="49" t="n"/>
      <c r="D18" s="50" t="str">
        <f>IF(A18="","",IFERROR(VLOOKUP(A18,TinhGia!$A$4:$B$53,2,FALSE),0))</f>
        <v/>
      </c>
      <c r="E18" s="49" t="n"/>
      <c r="F18" s="49" t="n"/>
      <c r="G18" s="51" t="str">
        <f>IF(C18="","",IFERROR(VLOOKUP(C18,DonGia!$A$4:$D$203,2,FALSE),0))</f>
        <v/>
      </c>
      <c r="H18" s="51" t="str">
        <f>IF(C18="","",IFERROR(VLOOKUP(C18,DonGia!$A$4:$D$203,3,FALSE),0))</f>
        <v/>
      </c>
      <c r="I18" s="49" t="n"/>
      <c r="J18" s="50" t="str">
        <f>IF(C18="","",IFERROR(VLOOKUP(C18,DonGia!$A$4:$D$203,4,FALSE),0))</f>
        <v/>
      </c>
      <c r="K18" s="49" t="n"/>
      <c r="L18" s="49" t="n"/>
      <c r="M18" s="51" t="str">
        <f>IF(A18="","",E18*H18+D18*F18/60*G18+D18*I18*J18+D18*K18+D18*L18)</f>
        <v/>
      </c>
      <c r="N18" s="50">
        <f>IFERROR(M18/D18,0)</f>
        <v>0</v>
      </c>
    </row>
    <row r="19">
      <c r="A19" s="49" t="n"/>
      <c r="B19" s="49" t="n"/>
      <c r="C19" s="49" t="n"/>
      <c r="D19" s="50" t="str">
        <f>IF(A19="","",IFERROR(VLOOKUP(A19,TinhGia!$A$4:$B$53,2,FALSE),0))</f>
        <v/>
      </c>
      <c r="E19" s="49" t="n"/>
      <c r="F19" s="49" t="n"/>
      <c r="G19" s="51" t="str">
        <f>IF(C19="","",IFERROR(VLOOKUP(C19,DonGia!$A$4:$D$203,2,FALSE),0))</f>
        <v/>
      </c>
      <c r="H19" s="51" t="str">
        <f>IF(C19="","",IFERROR(VLOOKUP(C19,DonGia!$A$4:$D$203,3,FALSE),0))</f>
        <v/>
      </c>
      <c r="I19" s="49" t="n"/>
      <c r="J19" s="50" t="str">
        <f>IF(C19="","",IFERROR(VLOOKUP(C19,DonGia!$A$4:$D$203,4,FALSE),0))</f>
        <v/>
      </c>
      <c r="K19" s="49" t="n"/>
      <c r="L19" s="49" t="n"/>
      <c r="M19" s="51" t="str">
        <f>IF(A19="","",E19*H19+D19*F19/60*G19+D19*I19*J19+D19*K19+D19*L19)</f>
        <v/>
      </c>
      <c r="N19" s="50">
        <f>IFERROR(M19/D19,0)</f>
        <v>0</v>
      </c>
    </row>
    <row r="20">
      <c r="A20" s="49" t="n"/>
      <c r="B20" s="49" t="n"/>
      <c r="C20" s="49" t="n"/>
      <c r="D20" s="50" t="str">
        <f>IF(A20="","",IFERROR(VLOOKUP(A20,TinhGia!$A$4:$B$53,2,FALSE),0))</f>
        <v/>
      </c>
      <c r="E20" s="49" t="n"/>
      <c r="F20" s="49" t="n"/>
      <c r="G20" s="51" t="str">
        <f>IF(C20="","",IFERROR(VLOOKUP(C20,DonGia!$A$4:$D$203,2,FALSE),0))</f>
        <v/>
      </c>
      <c r="H20" s="51" t="str">
        <f>IF(C20="","",IFERROR(VLOOKUP(C20,DonGia!$A$4:$D$203,3,FALSE),0))</f>
        <v/>
      </c>
      <c r="I20" s="49" t="n"/>
      <c r="J20" s="50" t="str">
        <f>IF(C20="","",IFERROR(VLOOKUP(C20,DonGia!$A$4:$D$203,4,FALSE),0))</f>
        <v/>
      </c>
      <c r="K20" s="49" t="n"/>
      <c r="L20" s="49" t="n"/>
      <c r="M20" s="51" t="str">
        <f>IF(A20="","",E20*H20+D20*F20/60*G20+D20*I20*J20+D20*K20+D20*L20)</f>
        <v/>
      </c>
      <c r="N20" s="50">
        <f>IFERROR(M20/D20,0)</f>
        <v>0</v>
      </c>
    </row>
    <row r="21">
      <c r="A21" s="49" t="n"/>
      <c r="B21" s="49" t="n"/>
      <c r="C21" s="49" t="n"/>
      <c r="D21" s="50" t="str">
        <f>IF(A21="","",IFERROR(VLOOKUP(A21,TinhGia!$A$4:$B$53,2,FALSE),0))</f>
        <v/>
      </c>
      <c r="E21" s="49" t="n"/>
      <c r="F21" s="49" t="n"/>
      <c r="G21" s="51" t="str">
        <f>IF(C21="","",IFERROR(VLOOKUP(C21,DonGia!$A$4:$D$203,2,FALSE),0))</f>
        <v/>
      </c>
      <c r="H21" s="51" t="str">
        <f>IF(C21="","",IFERROR(VLOOKUP(C21,DonGia!$A$4:$D$203,3,FALSE),0))</f>
        <v/>
      </c>
      <c r="I21" s="49" t="n"/>
      <c r="J21" s="50" t="str">
        <f>IF(C21="","",IFERROR(VLOOKUP(C21,DonGia!$A$4:$D$203,4,FALSE),0))</f>
        <v/>
      </c>
      <c r="K21" s="49" t="n"/>
      <c r="L21" s="49" t="n"/>
      <c r="M21" s="51" t="str">
        <f>IF(A21="","",E21*H21+D21*F21/60*G21+D21*I21*J21+D21*K21+D21*L21)</f>
        <v/>
      </c>
      <c r="N21" s="50">
        <f>IFERROR(M21/D21,0)</f>
        <v>0</v>
      </c>
    </row>
    <row r="22">
      <c r="A22" s="49" t="n"/>
      <c r="B22" s="49" t="n"/>
      <c r="C22" s="49" t="n"/>
      <c r="D22" s="50" t="str">
        <f>IF(A22="","",IFERROR(VLOOKUP(A22,TinhGia!$A$4:$B$53,2,FALSE),0))</f>
        <v/>
      </c>
      <c r="E22" s="49" t="n"/>
      <c r="F22" s="49" t="n"/>
      <c r="G22" s="51" t="str">
        <f>IF(C22="","",IFERROR(VLOOKUP(C22,DonGia!$A$4:$D$203,2,FALSE),0))</f>
        <v/>
      </c>
      <c r="H22" s="51" t="str">
        <f>IF(C22="","",IFERROR(VLOOKUP(C22,DonGia!$A$4:$D$203,3,FALSE),0))</f>
        <v/>
      </c>
      <c r="I22" s="49" t="n"/>
      <c r="J22" s="50" t="str">
        <f>IF(C22="","",IFERROR(VLOOKUP(C22,DonGia!$A$4:$D$203,4,FALSE),0))</f>
        <v/>
      </c>
      <c r="K22" s="49" t="n"/>
      <c r="L22" s="49" t="n"/>
      <c r="M22" s="51" t="str">
        <f>IF(A22="","",E22*H22+D22*F22/60*G22+D22*I22*J22+D22*K22+D22*L22)</f>
        <v/>
      </c>
      <c r="N22" s="50">
        <f>IFERROR(M22/D22,0)</f>
        <v>0</v>
      </c>
    </row>
    <row r="23">
      <c r="A23" s="49" t="n"/>
      <c r="B23" s="49" t="n"/>
      <c r="C23" s="49" t="n"/>
      <c r="D23" s="50" t="str">
        <f>IF(A23="","",IFERROR(VLOOKUP(A23,TinhGia!$A$4:$B$53,2,FALSE),0))</f>
        <v/>
      </c>
      <c r="E23" s="49" t="n"/>
      <c r="F23" s="49" t="n"/>
      <c r="G23" s="51" t="str">
        <f>IF(C23="","",IFERROR(VLOOKUP(C23,DonGia!$A$4:$D$203,2,FALSE),0))</f>
        <v/>
      </c>
      <c r="H23" s="51" t="str">
        <f>IF(C23="","",IFERROR(VLOOKUP(C23,DonGia!$A$4:$D$203,3,FALSE),0))</f>
        <v/>
      </c>
      <c r="I23" s="49" t="n"/>
      <c r="J23" s="50" t="str">
        <f>IF(C23="","",IFERROR(VLOOKUP(C23,DonGia!$A$4:$D$203,4,FALSE),0))</f>
        <v/>
      </c>
      <c r="K23" s="49" t="n"/>
      <c r="L23" s="49" t="n"/>
      <c r="M23" s="51" t="str">
        <f>IF(A23="","",E23*H23+D23*F23/60*G23+D23*I23*J23+D23*K23+D23*L23)</f>
        <v/>
      </c>
      <c r="N23" s="50">
        <f>IFERROR(M23/D23,0)</f>
        <v>0</v>
      </c>
    </row>
    <row r="24">
      <c r="A24" s="49" t="n"/>
      <c r="B24" s="49" t="n"/>
      <c r="C24" s="49" t="n"/>
      <c r="D24" s="50" t="str">
        <f>IF(A24="","",IFERROR(VLOOKUP(A24,TinhGia!$A$4:$B$53,2,FALSE),0))</f>
        <v/>
      </c>
      <c r="E24" s="49" t="n"/>
      <c r="F24" s="49" t="n"/>
      <c r="G24" s="51" t="str">
        <f>IF(C24="","",IFERROR(VLOOKUP(C24,DonGia!$A$4:$D$203,2,FALSE),0))</f>
        <v/>
      </c>
      <c r="H24" s="51" t="str">
        <f>IF(C24="","",IFERROR(VLOOKUP(C24,DonGia!$A$4:$D$203,3,FALSE),0))</f>
        <v/>
      </c>
      <c r="I24" s="49" t="n"/>
      <c r="J24" s="50" t="str">
        <f>IF(C24="","",IFERROR(VLOOKUP(C24,DonGia!$A$4:$D$203,4,FALSE),0))</f>
        <v/>
      </c>
      <c r="K24" s="49" t="n"/>
      <c r="L24" s="49" t="n"/>
      <c r="M24" s="51" t="str">
        <f>IF(A24="","",E24*H24+D24*F24/60*G24+D24*I24*J24+D24*K24+D24*L24)</f>
        <v/>
      </c>
      <c r="N24" s="50">
        <f>IFERROR(M24/D24,0)</f>
        <v>0</v>
      </c>
    </row>
    <row r="25">
      <c r="A25" s="49" t="n"/>
      <c r="B25" s="49" t="n"/>
      <c r="C25" s="49" t="n"/>
      <c r="D25" s="50" t="str">
        <f>IF(A25="","",IFERROR(VLOOKUP(A25,TinhGia!$A$4:$B$53,2,FALSE),0))</f>
        <v/>
      </c>
      <c r="E25" s="49" t="n"/>
      <c r="F25" s="49" t="n"/>
      <c r="G25" s="51" t="str">
        <f>IF(C25="","",IFERROR(VLOOKUP(C25,DonGia!$A$4:$D$203,2,FALSE),0))</f>
        <v/>
      </c>
      <c r="H25" s="51" t="str">
        <f>IF(C25="","",IFERROR(VLOOKUP(C25,DonGia!$A$4:$D$203,3,FALSE),0))</f>
        <v/>
      </c>
      <c r="I25" s="49" t="n"/>
      <c r="J25" s="50" t="str">
        <f>IF(C25="","",IFERROR(VLOOKUP(C25,DonGia!$A$4:$D$203,4,FALSE),0))</f>
        <v/>
      </c>
      <c r="K25" s="49" t="n"/>
      <c r="L25" s="49" t="n"/>
      <c r="M25" s="51" t="str">
        <f>IF(A25="","",E25*H25+D25*F25/60*G25+D25*I25*J25+D25*K25+D25*L25)</f>
        <v/>
      </c>
      <c r="N25" s="50">
        <f>IFERROR(M25/D25,0)</f>
        <v>0</v>
      </c>
    </row>
    <row r="26">
      <c r="A26" s="49" t="n"/>
      <c r="B26" s="49" t="n"/>
      <c r="C26" s="49" t="n"/>
      <c r="D26" s="50" t="str">
        <f>IF(A26="","",IFERROR(VLOOKUP(A26,TinhGia!$A$4:$B$53,2,FALSE),0))</f>
        <v/>
      </c>
      <c r="E26" s="49" t="n"/>
      <c r="F26" s="49" t="n"/>
      <c r="G26" s="51" t="str">
        <f>IF(C26="","",IFERROR(VLOOKUP(C26,DonGia!$A$4:$D$203,2,FALSE),0))</f>
        <v/>
      </c>
      <c r="H26" s="51" t="str">
        <f>IF(C26="","",IFERROR(VLOOKUP(C26,DonGia!$A$4:$D$203,3,FALSE),0))</f>
        <v/>
      </c>
      <c r="I26" s="49" t="n"/>
      <c r="J26" s="50" t="str">
        <f>IF(C26="","",IFERROR(VLOOKUP(C26,DonGia!$A$4:$D$203,4,FALSE),0))</f>
        <v/>
      </c>
      <c r="K26" s="49" t="n"/>
      <c r="L26" s="49" t="n"/>
      <c r="M26" s="51" t="str">
        <f>IF(A26="","",E26*H26+D26*F26/60*G26+D26*I26*J26+D26*K26+D26*L26)</f>
        <v/>
      </c>
      <c r="N26" s="50">
        <f>IFERROR(M26/D26,0)</f>
        <v>0</v>
      </c>
    </row>
    <row r="27">
      <c r="A27" s="49" t="n"/>
      <c r="B27" s="49" t="n"/>
      <c r="C27" s="49" t="n"/>
      <c r="D27" s="50" t="str">
        <f>IF(A27="","",IFERROR(VLOOKUP(A27,TinhGia!$A$4:$B$53,2,FALSE),0))</f>
        <v/>
      </c>
      <c r="E27" s="49" t="n"/>
      <c r="F27" s="49" t="n"/>
      <c r="G27" s="51" t="str">
        <f>IF(C27="","",IFERROR(VLOOKUP(C27,DonGia!$A$4:$D$203,2,FALSE),0))</f>
        <v/>
      </c>
      <c r="H27" s="51" t="str">
        <f>IF(C27="","",IFERROR(VLOOKUP(C27,DonGia!$A$4:$D$203,3,FALSE),0))</f>
        <v/>
      </c>
      <c r="I27" s="49" t="n"/>
      <c r="J27" s="50" t="str">
        <f>IF(C27="","",IFERROR(VLOOKUP(C27,DonGia!$A$4:$D$203,4,FALSE),0))</f>
        <v/>
      </c>
      <c r="K27" s="49" t="n"/>
      <c r="L27" s="49" t="n"/>
      <c r="M27" s="51" t="str">
        <f>IF(A27="","",E27*H27+D27*F27/60*G27+D27*I27*J27+D27*K27+D27*L27)</f>
        <v/>
      </c>
      <c r="N27" s="50">
        <f>IFERROR(M27/D27,0)</f>
        <v>0</v>
      </c>
    </row>
    <row r="28">
      <c r="A28" s="49" t="n"/>
      <c r="B28" s="49" t="n"/>
      <c r="C28" s="49" t="n"/>
      <c r="D28" s="50" t="str">
        <f>IF(A28="","",IFERROR(VLOOKUP(A28,TinhGia!$A$4:$B$53,2,FALSE),0))</f>
        <v/>
      </c>
      <c r="E28" s="49" t="n"/>
      <c r="F28" s="49" t="n"/>
      <c r="G28" s="51" t="str">
        <f>IF(C28="","",IFERROR(VLOOKUP(C28,DonGia!$A$4:$D$203,2,FALSE),0))</f>
        <v/>
      </c>
      <c r="H28" s="51" t="str">
        <f>IF(C28="","",IFERROR(VLOOKUP(C28,DonGia!$A$4:$D$203,3,FALSE),0))</f>
        <v/>
      </c>
      <c r="I28" s="49" t="n"/>
      <c r="J28" s="50" t="str">
        <f>IF(C28="","",IFERROR(VLOOKUP(C28,DonGia!$A$4:$D$203,4,FALSE),0))</f>
        <v/>
      </c>
      <c r="K28" s="49" t="n"/>
      <c r="L28" s="49" t="n"/>
      <c r="M28" s="51" t="str">
        <f>IF(A28="","",E28*H28+D28*F28/60*G28+D28*I28*J28+D28*K28+D28*L28)</f>
        <v/>
      </c>
      <c r="N28" s="50">
        <f>IFERROR(M28/D28,0)</f>
        <v>0</v>
      </c>
    </row>
    <row r="29">
      <c r="A29" s="49" t="n"/>
      <c r="B29" s="49" t="n"/>
      <c r="C29" s="49" t="n"/>
      <c r="D29" s="50" t="str">
        <f>IF(A29="","",IFERROR(VLOOKUP(A29,TinhGia!$A$4:$B$53,2,FALSE),0))</f>
        <v/>
      </c>
      <c r="E29" s="49" t="n"/>
      <c r="F29" s="49" t="n"/>
      <c r="G29" s="51" t="str">
        <f>IF(C29="","",IFERROR(VLOOKUP(C29,DonGia!$A$4:$D$203,2,FALSE),0))</f>
        <v/>
      </c>
      <c r="H29" s="51" t="str">
        <f>IF(C29="","",IFERROR(VLOOKUP(C29,DonGia!$A$4:$D$203,3,FALSE),0))</f>
        <v/>
      </c>
      <c r="I29" s="49" t="n"/>
      <c r="J29" s="50" t="str">
        <f>IF(C29="","",IFERROR(VLOOKUP(C29,DonGia!$A$4:$D$203,4,FALSE),0))</f>
        <v/>
      </c>
      <c r="K29" s="49" t="n"/>
      <c r="L29" s="49" t="n"/>
      <c r="M29" s="51" t="str">
        <f>IF(A29="","",E29*H29+D29*F29/60*G29+D29*I29*J29+D29*K29+D29*L29)</f>
        <v/>
      </c>
      <c r="N29" s="50">
        <f>IFERROR(M29/D29,0)</f>
        <v>0</v>
      </c>
    </row>
    <row r="30">
      <c r="A30" s="49" t="n"/>
      <c r="B30" s="49" t="n"/>
      <c r="C30" s="49" t="n"/>
      <c r="D30" s="50" t="str">
        <f>IF(A30="","",IFERROR(VLOOKUP(A30,TinhGia!$A$4:$B$53,2,FALSE),0))</f>
        <v/>
      </c>
      <c r="E30" s="49" t="n"/>
      <c r="F30" s="49" t="n"/>
      <c r="G30" s="51" t="str">
        <f>IF(C30="","",IFERROR(VLOOKUP(C30,DonGia!$A$4:$D$203,2,FALSE),0))</f>
        <v/>
      </c>
      <c r="H30" s="51" t="str">
        <f>IF(C30="","",IFERROR(VLOOKUP(C30,DonGia!$A$4:$D$203,3,FALSE),0))</f>
        <v/>
      </c>
      <c r="I30" s="49" t="n"/>
      <c r="J30" s="50" t="str">
        <f>IF(C30="","",IFERROR(VLOOKUP(C30,DonGia!$A$4:$D$203,4,FALSE),0))</f>
        <v/>
      </c>
      <c r="K30" s="49" t="n"/>
      <c r="L30" s="49" t="n"/>
      <c r="M30" s="51" t="str">
        <f>IF(A30="","",E30*H30+D30*F30/60*G30+D30*I30*J30+D30*K30+D30*L30)</f>
        <v/>
      </c>
      <c r="N30" s="50">
        <f>IFERROR(M30/D30,0)</f>
        <v>0</v>
      </c>
    </row>
    <row r="31">
      <c r="A31" s="49" t="n"/>
      <c r="B31" s="49" t="n"/>
      <c r="C31" s="49" t="n"/>
      <c r="D31" s="50" t="str">
        <f>IF(A31="","",IFERROR(VLOOKUP(A31,TinhGia!$A$4:$B$53,2,FALSE),0))</f>
        <v/>
      </c>
      <c r="E31" s="49" t="n"/>
      <c r="F31" s="49" t="n"/>
      <c r="G31" s="51" t="str">
        <f>IF(C31="","",IFERROR(VLOOKUP(C31,DonGia!$A$4:$D$203,2,FALSE),0))</f>
        <v/>
      </c>
      <c r="H31" s="51" t="str">
        <f>IF(C31="","",IFERROR(VLOOKUP(C31,DonGia!$A$4:$D$203,3,FALSE),0))</f>
        <v/>
      </c>
      <c r="I31" s="49" t="n"/>
      <c r="J31" s="50" t="str">
        <f>IF(C31="","",IFERROR(VLOOKUP(C31,DonGia!$A$4:$D$203,4,FALSE),0))</f>
        <v/>
      </c>
      <c r="K31" s="49" t="n"/>
      <c r="L31" s="49" t="n"/>
      <c r="M31" s="51" t="str">
        <f>IF(A31="","",E31*H31+D31*F31/60*G31+D31*I31*J31+D31*K31+D31*L31)</f>
        <v/>
      </c>
      <c r="N31" s="50">
        <f>IFERROR(M31/D31,0)</f>
        <v>0</v>
      </c>
    </row>
    <row r="32">
      <c r="A32" s="49" t="n"/>
      <c r="B32" s="49" t="n"/>
      <c r="C32" s="49" t="n"/>
      <c r="D32" s="50" t="str">
        <f>IF(A32="","",IFERROR(VLOOKUP(A32,TinhGia!$A$4:$B$53,2,FALSE),0))</f>
        <v/>
      </c>
      <c r="E32" s="49" t="n"/>
      <c r="F32" s="49" t="n"/>
      <c r="G32" s="51" t="str">
        <f>IF(C32="","",IFERROR(VLOOKUP(C32,DonGia!$A$4:$D$203,2,FALSE),0))</f>
        <v/>
      </c>
      <c r="H32" s="51" t="str">
        <f>IF(C32="","",IFERROR(VLOOKUP(C32,DonGia!$A$4:$D$203,3,FALSE),0))</f>
        <v/>
      </c>
      <c r="I32" s="49" t="n"/>
      <c r="J32" s="50" t="str">
        <f>IF(C32="","",IFERROR(VLOOKUP(C32,DonGia!$A$4:$D$203,4,FALSE),0))</f>
        <v/>
      </c>
      <c r="K32" s="49" t="n"/>
      <c r="L32" s="49" t="n"/>
      <c r="M32" s="51" t="str">
        <f>IF(A32="","",E32*H32+D32*F32/60*G32+D32*I32*J32+D32*K32+D32*L32)</f>
        <v/>
      </c>
      <c r="N32" s="50">
        <f>IFERROR(M32/D32,0)</f>
        <v>0</v>
      </c>
    </row>
    <row r="33">
      <c r="A33" s="49" t="n"/>
      <c r="B33" s="49" t="n"/>
      <c r="C33" s="49" t="n"/>
      <c r="D33" s="50" t="str">
        <f>IF(A33="","",IFERROR(VLOOKUP(A33,TinhGia!$A$4:$B$53,2,FALSE),0))</f>
        <v/>
      </c>
      <c r="E33" s="49" t="n"/>
      <c r="F33" s="49" t="n"/>
      <c r="G33" s="51" t="str">
        <f>IF(C33="","",IFERROR(VLOOKUP(C33,DonGia!$A$4:$D$203,2,FALSE),0))</f>
        <v/>
      </c>
      <c r="H33" s="51" t="str">
        <f>IF(C33="","",IFERROR(VLOOKUP(C33,DonGia!$A$4:$D$203,3,FALSE),0))</f>
        <v/>
      </c>
      <c r="I33" s="49" t="n"/>
      <c r="J33" s="50" t="str">
        <f>IF(C33="","",IFERROR(VLOOKUP(C33,DonGia!$A$4:$D$203,4,FALSE),0))</f>
        <v/>
      </c>
      <c r="K33" s="49" t="n"/>
      <c r="L33" s="49" t="n"/>
      <c r="M33" s="51" t="str">
        <f>IF(A33="","",E33*H33+D33*F33/60*G33+D33*I33*J33+D33*K33+D33*L33)</f>
        <v/>
      </c>
      <c r="N33" s="50">
        <f>IFERROR(M33/D33,0)</f>
        <v>0</v>
      </c>
    </row>
    <row r="34">
      <c r="A34" s="49" t="n"/>
      <c r="B34" s="49" t="n"/>
      <c r="C34" s="49" t="n"/>
      <c r="D34" s="50" t="str">
        <f>IF(A34="","",IFERROR(VLOOKUP(A34,TinhGia!$A$4:$B$53,2,FALSE),0))</f>
        <v/>
      </c>
      <c r="E34" s="49" t="n"/>
      <c r="F34" s="49" t="n"/>
      <c r="G34" s="51" t="str">
        <f>IF(C34="","",IFERROR(VLOOKUP(C34,DonGia!$A$4:$D$203,2,FALSE),0))</f>
        <v/>
      </c>
      <c r="H34" s="51" t="str">
        <f>IF(C34="","",IFERROR(VLOOKUP(C34,DonGia!$A$4:$D$203,3,FALSE),0))</f>
        <v/>
      </c>
      <c r="I34" s="49" t="n"/>
      <c r="J34" s="50" t="str">
        <f>IF(C34="","",IFERROR(VLOOKUP(C34,DonGia!$A$4:$D$203,4,FALSE),0))</f>
        <v/>
      </c>
      <c r="K34" s="49" t="n"/>
      <c r="L34" s="49" t="n"/>
      <c r="M34" s="51" t="str">
        <f>IF(A34="","",E34*H34+D34*F34/60*G34+D34*I34*J34+D34*K34+D34*L34)</f>
        <v/>
      </c>
      <c r="N34" s="50">
        <f>IFERROR(M34/D34,0)</f>
        <v>0</v>
      </c>
    </row>
    <row r="35">
      <c r="A35" s="49" t="n"/>
      <c r="B35" s="49" t="n"/>
      <c r="C35" s="49" t="n"/>
      <c r="D35" s="50" t="str">
        <f>IF(A35="","",IFERROR(VLOOKUP(A35,TinhGia!$A$4:$B$53,2,FALSE),0))</f>
        <v/>
      </c>
      <c r="E35" s="49" t="n"/>
      <c r="F35" s="49" t="n"/>
      <c r="G35" s="51" t="str">
        <f>IF(C35="","",IFERROR(VLOOKUP(C35,DonGia!$A$4:$D$203,2,FALSE),0))</f>
        <v/>
      </c>
      <c r="H35" s="51" t="str">
        <f>IF(C35="","",IFERROR(VLOOKUP(C35,DonGia!$A$4:$D$203,3,FALSE),0))</f>
        <v/>
      </c>
      <c r="I35" s="49" t="n"/>
      <c r="J35" s="50" t="str">
        <f>IF(C35="","",IFERROR(VLOOKUP(C35,DonGia!$A$4:$D$203,4,FALSE),0))</f>
        <v/>
      </c>
      <c r="K35" s="49" t="n"/>
      <c r="L35" s="49" t="n"/>
      <c r="M35" s="51" t="str">
        <f>IF(A35="","",E35*H35+D35*F35/60*G35+D35*I35*J35+D35*K35+D35*L35)</f>
        <v/>
      </c>
      <c r="N35" s="50">
        <f>IFERROR(M35/D35,0)</f>
        <v>0</v>
      </c>
    </row>
    <row r="36">
      <c r="A36" s="49" t="n"/>
      <c r="B36" s="49" t="n"/>
      <c r="C36" s="49" t="n"/>
      <c r="D36" s="50" t="str">
        <f>IF(A36="","",IFERROR(VLOOKUP(A36,TinhGia!$A$4:$B$53,2,FALSE),0))</f>
        <v/>
      </c>
      <c r="E36" s="49" t="n"/>
      <c r="F36" s="49" t="n"/>
      <c r="G36" s="51" t="str">
        <f>IF(C36="","",IFERROR(VLOOKUP(C36,DonGia!$A$4:$D$203,2,FALSE),0))</f>
        <v/>
      </c>
      <c r="H36" s="51" t="str">
        <f>IF(C36="","",IFERROR(VLOOKUP(C36,DonGia!$A$4:$D$203,3,FALSE),0))</f>
        <v/>
      </c>
      <c r="I36" s="49" t="n"/>
      <c r="J36" s="50" t="str">
        <f>IF(C36="","",IFERROR(VLOOKUP(C36,DonGia!$A$4:$D$203,4,FALSE),0))</f>
        <v/>
      </c>
      <c r="K36" s="49" t="n"/>
      <c r="L36" s="49" t="n"/>
      <c r="M36" s="51" t="str">
        <f>IF(A36="","",E36*H36+D36*F36/60*G36+D36*I36*J36+D36*K36+D36*L36)</f>
        <v/>
      </c>
      <c r="N36" s="50">
        <f>IFERROR(M36/D36,0)</f>
        <v>0</v>
      </c>
    </row>
    <row r="37">
      <c r="A37" s="49" t="n"/>
      <c r="B37" s="49" t="n"/>
      <c r="C37" s="49" t="n"/>
      <c r="D37" s="50" t="str">
        <f>IF(A37="","",IFERROR(VLOOKUP(A37,TinhGia!$A$4:$B$53,2,FALSE),0))</f>
        <v/>
      </c>
      <c r="E37" s="49" t="n"/>
      <c r="F37" s="49" t="n"/>
      <c r="G37" s="51" t="str">
        <f>IF(C37="","",IFERROR(VLOOKUP(C37,DonGia!$A$4:$D$203,2,FALSE),0))</f>
        <v/>
      </c>
      <c r="H37" s="51" t="str">
        <f>IF(C37="","",IFERROR(VLOOKUP(C37,DonGia!$A$4:$D$203,3,FALSE),0))</f>
        <v/>
      </c>
      <c r="I37" s="49" t="n"/>
      <c r="J37" s="50" t="str">
        <f>IF(C37="","",IFERROR(VLOOKUP(C37,DonGia!$A$4:$D$203,4,FALSE),0))</f>
        <v/>
      </c>
      <c r="K37" s="49" t="n"/>
      <c r="L37" s="49" t="n"/>
      <c r="M37" s="51" t="str">
        <f>IF(A37="","",E37*H37+D37*F37/60*G37+D37*I37*J37+D37*K37+D37*L37)</f>
        <v/>
      </c>
      <c r="N37" s="50">
        <f>IFERROR(M37/D37,0)</f>
        <v>0</v>
      </c>
    </row>
    <row r="38">
      <c r="A38" s="49" t="n"/>
      <c r="B38" s="49" t="n"/>
      <c r="C38" s="49" t="n"/>
      <c r="D38" s="50" t="str">
        <f>IF(A38="","",IFERROR(VLOOKUP(A38,TinhGia!$A$4:$B$53,2,FALSE),0))</f>
        <v/>
      </c>
      <c r="E38" s="49" t="n"/>
      <c r="F38" s="49" t="n"/>
      <c r="G38" s="51" t="str">
        <f>IF(C38="","",IFERROR(VLOOKUP(C38,DonGia!$A$4:$D$203,2,FALSE),0))</f>
        <v/>
      </c>
      <c r="H38" s="51" t="str">
        <f>IF(C38="","",IFERROR(VLOOKUP(C38,DonGia!$A$4:$D$203,3,FALSE),0))</f>
        <v/>
      </c>
      <c r="I38" s="49" t="n"/>
      <c r="J38" s="50" t="str">
        <f>IF(C38="","",IFERROR(VLOOKUP(C38,DonGia!$A$4:$D$203,4,FALSE),0))</f>
        <v/>
      </c>
      <c r="K38" s="49" t="n"/>
      <c r="L38" s="49" t="n"/>
      <c r="M38" s="51" t="str">
        <f>IF(A38="","",E38*H38+D38*F38/60*G38+D38*I38*J38+D38*K38+D38*L38)</f>
        <v/>
      </c>
      <c r="N38" s="50">
        <f>IFERROR(M38/D38,0)</f>
        <v>0</v>
      </c>
    </row>
    <row r="39">
      <c r="A39" s="49" t="n"/>
      <c r="B39" s="49" t="n"/>
      <c r="C39" s="49" t="n"/>
      <c r="D39" s="50" t="str">
        <f>IF(A39="","",IFERROR(VLOOKUP(A39,TinhGia!$A$4:$B$53,2,FALSE),0))</f>
        <v/>
      </c>
      <c r="E39" s="49" t="n"/>
      <c r="F39" s="49" t="n"/>
      <c r="G39" s="51" t="str">
        <f>IF(C39="","",IFERROR(VLOOKUP(C39,DonGia!$A$4:$D$203,2,FALSE),0))</f>
        <v/>
      </c>
      <c r="H39" s="51" t="str">
        <f>IF(C39="","",IFERROR(VLOOKUP(C39,DonGia!$A$4:$D$203,3,FALSE),0))</f>
        <v/>
      </c>
      <c r="I39" s="49" t="n"/>
      <c r="J39" s="50" t="str">
        <f>IF(C39="","",IFERROR(VLOOKUP(C39,DonGia!$A$4:$D$203,4,FALSE),0))</f>
        <v/>
      </c>
      <c r="K39" s="49" t="n"/>
      <c r="L39" s="49" t="n"/>
      <c r="M39" s="51" t="str">
        <f>IF(A39="","",E39*H39+D39*F39/60*G39+D39*I39*J39+D39*K39+D39*L39)</f>
        <v/>
      </c>
      <c r="N39" s="50">
        <f>IFERROR(M39/D39,0)</f>
        <v>0</v>
      </c>
    </row>
    <row r="40">
      <c r="A40" s="49" t="n"/>
      <c r="B40" s="49" t="n"/>
      <c r="C40" s="49" t="n"/>
      <c r="D40" s="50" t="str">
        <f>IF(A40="","",IFERROR(VLOOKUP(A40,TinhGia!$A$4:$B$53,2,FALSE),0))</f>
        <v/>
      </c>
      <c r="E40" s="49" t="n"/>
      <c r="F40" s="49" t="n"/>
      <c r="G40" s="51" t="str">
        <f>IF(C40="","",IFERROR(VLOOKUP(C40,DonGia!$A$4:$D$203,2,FALSE),0))</f>
        <v/>
      </c>
      <c r="H40" s="51" t="str">
        <f>IF(C40="","",IFERROR(VLOOKUP(C40,DonGia!$A$4:$D$203,3,FALSE),0))</f>
        <v/>
      </c>
      <c r="I40" s="49" t="n"/>
      <c r="J40" s="50" t="str">
        <f>IF(C40="","",IFERROR(VLOOKUP(C40,DonGia!$A$4:$D$203,4,FALSE),0))</f>
        <v/>
      </c>
      <c r="K40" s="49" t="n"/>
      <c r="L40" s="49" t="n"/>
      <c r="M40" s="51" t="str">
        <f>IF(A40="","",E40*H40+D40*F40/60*G40+D40*I40*J40+D40*K40+D40*L40)</f>
        <v/>
      </c>
      <c r="N40" s="50">
        <f>IFERROR(M40/D40,0)</f>
        <v>0</v>
      </c>
    </row>
    <row r="41">
      <c r="A41" s="49" t="n"/>
      <c r="B41" s="49" t="n"/>
      <c r="C41" s="49" t="n"/>
      <c r="D41" s="50" t="str">
        <f>IF(A41="","",IFERROR(VLOOKUP(A41,TinhGia!$A$4:$B$53,2,FALSE),0))</f>
        <v/>
      </c>
      <c r="E41" s="49" t="n"/>
      <c r="F41" s="49" t="n"/>
      <c r="G41" s="51" t="str">
        <f>IF(C41="","",IFERROR(VLOOKUP(C41,DonGia!$A$4:$D$203,2,FALSE),0))</f>
        <v/>
      </c>
      <c r="H41" s="51" t="str">
        <f>IF(C41="","",IFERROR(VLOOKUP(C41,DonGia!$A$4:$D$203,3,FALSE),0))</f>
        <v/>
      </c>
      <c r="I41" s="49" t="n"/>
      <c r="J41" s="50" t="str">
        <f>IF(C41="","",IFERROR(VLOOKUP(C41,DonGia!$A$4:$D$203,4,FALSE),0))</f>
        <v/>
      </c>
      <c r="K41" s="49" t="n"/>
      <c r="L41" s="49" t="n"/>
      <c r="M41" s="51" t="str">
        <f>IF(A41="","",E41*H41+D41*F41/60*G41+D41*I41*J41+D41*K41+D41*L41)</f>
        <v/>
      </c>
      <c r="N41" s="50">
        <f>IFERROR(M41/D41,0)</f>
        <v>0</v>
      </c>
    </row>
    <row r="42">
      <c r="A42" s="49" t="n"/>
      <c r="B42" s="49" t="n"/>
      <c r="C42" s="49" t="n"/>
      <c r="D42" s="50" t="str">
        <f>IF(A42="","",IFERROR(VLOOKUP(A42,TinhGia!$A$4:$B$53,2,FALSE),0))</f>
        <v/>
      </c>
      <c r="E42" s="49" t="n"/>
      <c r="F42" s="49" t="n"/>
      <c r="G42" s="51" t="str">
        <f>IF(C42="","",IFERROR(VLOOKUP(C42,DonGia!$A$4:$D$203,2,FALSE),0))</f>
        <v/>
      </c>
      <c r="H42" s="51" t="str">
        <f>IF(C42="","",IFERROR(VLOOKUP(C42,DonGia!$A$4:$D$203,3,FALSE),0))</f>
        <v/>
      </c>
      <c r="I42" s="49" t="n"/>
      <c r="J42" s="50" t="str">
        <f>IF(C42="","",IFERROR(VLOOKUP(C42,DonGia!$A$4:$D$203,4,FALSE),0))</f>
        <v/>
      </c>
      <c r="K42" s="49" t="n"/>
      <c r="L42" s="49" t="n"/>
      <c r="M42" s="51" t="str">
        <f>IF(A42="","",E42*H42+D42*F42/60*G42+D42*I42*J42+D42*K42+D42*L42)</f>
        <v/>
      </c>
      <c r="N42" s="50">
        <f>IFERROR(M42/D42,0)</f>
        <v>0</v>
      </c>
    </row>
    <row r="43">
      <c r="A43" s="49" t="n"/>
      <c r="B43" s="49" t="n"/>
      <c r="C43" s="49" t="n"/>
      <c r="D43" s="50" t="str">
        <f>IF(A43="","",IFERROR(VLOOKUP(A43,TinhGia!$A$4:$B$53,2,FALSE),0))</f>
        <v/>
      </c>
      <c r="E43" s="49" t="n"/>
      <c r="F43" s="49" t="n"/>
      <c r="G43" s="51" t="str">
        <f>IF(C43="","",IFERROR(VLOOKUP(C43,DonGia!$A$4:$D$203,2,FALSE),0))</f>
        <v/>
      </c>
      <c r="H43" s="51" t="str">
        <f>IF(C43="","",IFERROR(VLOOKUP(C43,DonGia!$A$4:$D$203,3,FALSE),0))</f>
        <v/>
      </c>
      <c r="I43" s="49" t="n"/>
      <c r="J43" s="50" t="str">
        <f>IF(C43="","",IFERROR(VLOOKUP(C43,DonGia!$A$4:$D$203,4,FALSE),0))</f>
        <v/>
      </c>
      <c r="K43" s="49" t="n"/>
      <c r="L43" s="49" t="n"/>
      <c r="M43" s="51" t="str">
        <f>IF(A43="","",E43*H43+D43*F43/60*G43+D43*I43*J43+D43*K43+D43*L43)</f>
        <v/>
      </c>
      <c r="N43" s="50">
        <f>IFERROR(M43/D43,0)</f>
        <v>0</v>
      </c>
    </row>
    <row r="44">
      <c r="A44" s="49" t="n"/>
      <c r="B44" s="49" t="n"/>
      <c r="C44" s="49" t="n"/>
      <c r="D44" s="50" t="str">
        <f>IF(A44="","",IFERROR(VLOOKUP(A44,TinhGia!$A$4:$B$53,2,FALSE),0))</f>
        <v/>
      </c>
      <c r="E44" s="49" t="n"/>
      <c r="F44" s="49" t="n"/>
      <c r="G44" s="51" t="str">
        <f>IF(C44="","",IFERROR(VLOOKUP(C44,DonGia!$A$4:$D$203,2,FALSE),0))</f>
        <v/>
      </c>
      <c r="H44" s="51" t="str">
        <f>IF(C44="","",IFERROR(VLOOKUP(C44,DonGia!$A$4:$D$203,3,FALSE),0))</f>
        <v/>
      </c>
      <c r="I44" s="49" t="n"/>
      <c r="J44" s="50" t="str">
        <f>IF(C44="","",IFERROR(VLOOKUP(C44,DonGia!$A$4:$D$203,4,FALSE),0))</f>
        <v/>
      </c>
      <c r="K44" s="49" t="n"/>
      <c r="L44" s="49" t="n"/>
      <c r="M44" s="51" t="str">
        <f>IF(A44="","",E44*H44+D44*F44/60*G44+D44*I44*J44+D44*K44+D44*L44)</f>
        <v/>
      </c>
      <c r="N44" s="50">
        <f>IFERROR(M44/D44,0)</f>
        <v>0</v>
      </c>
    </row>
    <row r="45">
      <c r="A45" s="49" t="n"/>
      <c r="B45" s="49" t="n"/>
      <c r="C45" s="49" t="n"/>
      <c r="D45" s="50" t="str">
        <f>IF(A45="","",IFERROR(VLOOKUP(A45,TinhGia!$A$4:$B$53,2,FALSE),0))</f>
        <v/>
      </c>
      <c r="E45" s="49" t="n"/>
      <c r="F45" s="49" t="n"/>
      <c r="G45" s="51" t="str">
        <f>IF(C45="","",IFERROR(VLOOKUP(C45,DonGia!$A$4:$D$203,2,FALSE),0))</f>
        <v/>
      </c>
      <c r="H45" s="51" t="str">
        <f>IF(C45="","",IFERROR(VLOOKUP(C45,DonGia!$A$4:$D$203,3,FALSE),0))</f>
        <v/>
      </c>
      <c r="I45" s="49" t="n"/>
      <c r="J45" s="50" t="str">
        <f>IF(C45="","",IFERROR(VLOOKUP(C45,DonGia!$A$4:$D$203,4,FALSE),0))</f>
        <v/>
      </c>
      <c r="K45" s="49" t="n"/>
      <c r="L45" s="49" t="n"/>
      <c r="M45" s="51" t="str">
        <f>IF(A45="","",E45*H45+D45*F45/60*G45+D45*I45*J45+D45*K45+D45*L45)</f>
        <v/>
      </c>
      <c r="N45" s="50">
        <f>IFERROR(M45/D45,0)</f>
        <v>0</v>
      </c>
    </row>
    <row r="46">
      <c r="A46" s="49" t="n"/>
      <c r="B46" s="49" t="n"/>
      <c r="C46" s="49" t="n"/>
      <c r="D46" s="50" t="str">
        <f>IF(A46="","",IFERROR(VLOOKUP(A46,TinhGia!$A$4:$B$53,2,FALSE),0))</f>
        <v/>
      </c>
      <c r="E46" s="49" t="n"/>
      <c r="F46" s="49" t="n"/>
      <c r="G46" s="51" t="str">
        <f>IF(C46="","",IFERROR(VLOOKUP(C46,DonGia!$A$4:$D$203,2,FALSE),0))</f>
        <v/>
      </c>
      <c r="H46" s="51" t="str">
        <f>IF(C46="","",IFERROR(VLOOKUP(C46,DonGia!$A$4:$D$203,3,FALSE),0))</f>
        <v/>
      </c>
      <c r="I46" s="49" t="n"/>
      <c r="J46" s="50" t="str">
        <f>IF(C46="","",IFERROR(VLOOKUP(C46,DonGia!$A$4:$D$203,4,FALSE),0))</f>
        <v/>
      </c>
      <c r="K46" s="49" t="n"/>
      <c r="L46" s="49" t="n"/>
      <c r="M46" s="51" t="str">
        <f>IF(A46="","",E46*H46+D46*F46/60*G46+D46*I46*J46+D46*K46+D46*L46)</f>
        <v/>
      </c>
      <c r="N46" s="50">
        <f>IFERROR(M46/D46,0)</f>
        <v>0</v>
      </c>
    </row>
    <row r="47">
      <c r="A47" s="49" t="n"/>
      <c r="B47" s="49" t="n"/>
      <c r="C47" s="49" t="n"/>
      <c r="D47" s="50" t="str">
        <f>IF(A47="","",IFERROR(VLOOKUP(A47,TinhGia!$A$4:$B$53,2,FALSE),0))</f>
        <v/>
      </c>
      <c r="E47" s="49" t="n"/>
      <c r="F47" s="49" t="n"/>
      <c r="G47" s="51" t="str">
        <f>IF(C47="","",IFERROR(VLOOKUP(C47,DonGia!$A$4:$D$203,2,FALSE),0))</f>
        <v/>
      </c>
      <c r="H47" s="51" t="str">
        <f>IF(C47="","",IFERROR(VLOOKUP(C47,DonGia!$A$4:$D$203,3,FALSE),0))</f>
        <v/>
      </c>
      <c r="I47" s="49" t="n"/>
      <c r="J47" s="50" t="str">
        <f>IF(C47="","",IFERROR(VLOOKUP(C47,DonGia!$A$4:$D$203,4,FALSE),0))</f>
        <v/>
      </c>
      <c r="K47" s="49" t="n"/>
      <c r="L47" s="49" t="n"/>
      <c r="M47" s="51" t="str">
        <f>IF(A47="","",E47*H47+D47*F47/60*G47+D47*I47*J47+D47*K47+D47*L47)</f>
        <v/>
      </c>
      <c r="N47" s="50">
        <f>IFERROR(M47/D47,0)</f>
        <v>0</v>
      </c>
    </row>
    <row r="48">
      <c r="A48" s="49" t="n"/>
      <c r="B48" s="49" t="n"/>
      <c r="C48" s="49" t="n"/>
      <c r="D48" s="50" t="str">
        <f>IF(A48="","",IFERROR(VLOOKUP(A48,TinhGia!$A$4:$B$53,2,FALSE),0))</f>
        <v/>
      </c>
      <c r="E48" s="49" t="n"/>
      <c r="F48" s="49" t="n"/>
      <c r="G48" s="51" t="str">
        <f>IF(C48="","",IFERROR(VLOOKUP(C48,DonGia!$A$4:$D$203,2,FALSE),0))</f>
        <v/>
      </c>
      <c r="H48" s="51" t="str">
        <f>IF(C48="","",IFERROR(VLOOKUP(C48,DonGia!$A$4:$D$203,3,FALSE),0))</f>
        <v/>
      </c>
      <c r="I48" s="49" t="n"/>
      <c r="J48" s="50" t="str">
        <f>IF(C48="","",IFERROR(VLOOKUP(C48,DonGia!$A$4:$D$203,4,FALSE),0))</f>
        <v/>
      </c>
      <c r="K48" s="49" t="n"/>
      <c r="L48" s="49" t="n"/>
      <c r="M48" s="51" t="str">
        <f>IF(A48="","",E48*H48+D48*F48/60*G48+D48*I48*J48+D48*K48+D48*L48)</f>
        <v/>
      </c>
      <c r="N48" s="50">
        <f>IFERROR(M48/D48,0)</f>
        <v>0</v>
      </c>
    </row>
    <row r="49">
      <c r="A49" s="49" t="n"/>
      <c r="B49" s="49" t="n"/>
      <c r="C49" s="49" t="n"/>
      <c r="D49" s="50" t="str">
        <f>IF(A49="","",IFERROR(VLOOKUP(A49,TinhGia!$A$4:$B$53,2,FALSE),0))</f>
        <v/>
      </c>
      <c r="E49" s="49" t="n"/>
      <c r="F49" s="49" t="n"/>
      <c r="G49" s="51" t="str">
        <f>IF(C49="","",IFERROR(VLOOKUP(C49,DonGia!$A$4:$D$203,2,FALSE),0))</f>
        <v/>
      </c>
      <c r="H49" s="51" t="str">
        <f>IF(C49="","",IFERROR(VLOOKUP(C49,DonGia!$A$4:$D$203,3,FALSE),0))</f>
        <v/>
      </c>
      <c r="I49" s="49" t="n"/>
      <c r="J49" s="50" t="str">
        <f>IF(C49="","",IFERROR(VLOOKUP(C49,DonGia!$A$4:$D$203,4,FALSE),0))</f>
        <v/>
      </c>
      <c r="K49" s="49" t="n"/>
      <c r="L49" s="49" t="n"/>
      <c r="M49" s="51" t="str">
        <f>IF(A49="","",E49*H49+D49*F49/60*G49+D49*I49*J49+D49*K49+D49*L49)</f>
        <v/>
      </c>
      <c r="N49" s="50">
        <f>IFERROR(M49/D49,0)</f>
        <v>0</v>
      </c>
    </row>
    <row r="50">
      <c r="A50" s="49" t="n"/>
      <c r="B50" s="49" t="n"/>
      <c r="C50" s="49" t="n"/>
      <c r="D50" s="50" t="str">
        <f>IF(A50="","",IFERROR(VLOOKUP(A50,TinhGia!$A$4:$B$53,2,FALSE),0))</f>
        <v/>
      </c>
      <c r="E50" s="49" t="n"/>
      <c r="F50" s="49" t="n"/>
      <c r="G50" s="51" t="str">
        <f>IF(C50="","",IFERROR(VLOOKUP(C50,DonGia!$A$4:$D$203,2,FALSE),0))</f>
        <v/>
      </c>
      <c r="H50" s="51" t="str">
        <f>IF(C50="","",IFERROR(VLOOKUP(C50,DonGia!$A$4:$D$203,3,FALSE),0))</f>
        <v/>
      </c>
      <c r="I50" s="49" t="n"/>
      <c r="J50" s="50" t="str">
        <f>IF(C50="","",IFERROR(VLOOKUP(C50,DonGia!$A$4:$D$203,4,FALSE),0))</f>
        <v/>
      </c>
      <c r="K50" s="49" t="n"/>
      <c r="L50" s="49" t="n"/>
      <c r="M50" s="51" t="str">
        <f>IF(A50="","",E50*H50+D50*F50/60*G50+D50*I50*J50+D50*K50+D50*L50)</f>
        <v/>
      </c>
      <c r="N50" s="50">
        <f>IFERROR(M50/D50,0)</f>
        <v>0</v>
      </c>
    </row>
    <row r="51">
      <c r="A51" s="49" t="n"/>
      <c r="B51" s="49" t="n"/>
      <c r="C51" s="49" t="n"/>
      <c r="D51" s="50" t="str">
        <f>IF(A51="","",IFERROR(VLOOKUP(A51,TinhGia!$A$4:$B$53,2,FALSE),0))</f>
        <v/>
      </c>
      <c r="E51" s="49" t="n"/>
      <c r="F51" s="49" t="n"/>
      <c r="G51" s="51" t="str">
        <f>IF(C51="","",IFERROR(VLOOKUP(C51,DonGia!$A$4:$D$203,2,FALSE),0))</f>
        <v/>
      </c>
      <c r="H51" s="51" t="str">
        <f>IF(C51="","",IFERROR(VLOOKUP(C51,DonGia!$A$4:$D$203,3,FALSE),0))</f>
        <v/>
      </c>
      <c r="I51" s="49" t="n"/>
      <c r="J51" s="50" t="str">
        <f>IF(C51="","",IFERROR(VLOOKUP(C51,DonGia!$A$4:$D$203,4,FALSE),0))</f>
        <v/>
      </c>
      <c r="K51" s="49" t="n"/>
      <c r="L51" s="49" t="n"/>
      <c r="M51" s="51" t="str">
        <f>IF(A51="","",E51*H51+D51*F51/60*G51+D51*I51*J51+D51*K51+D51*L51)</f>
        <v/>
      </c>
      <c r="N51" s="50">
        <f>IFERROR(M51/D51,0)</f>
        <v>0</v>
      </c>
    </row>
    <row r="52">
      <c r="A52" s="49" t="n"/>
      <c r="B52" s="49" t="n"/>
      <c r="C52" s="49" t="n"/>
      <c r="D52" s="50" t="str">
        <f>IF(A52="","",IFERROR(VLOOKUP(A52,TinhGia!$A$4:$B$53,2,FALSE),0))</f>
        <v/>
      </c>
      <c r="E52" s="49" t="n"/>
      <c r="F52" s="49" t="n"/>
      <c r="G52" s="51" t="str">
        <f>IF(C52="","",IFERROR(VLOOKUP(C52,DonGia!$A$4:$D$203,2,FALSE),0))</f>
        <v/>
      </c>
      <c r="H52" s="51" t="str">
        <f>IF(C52="","",IFERROR(VLOOKUP(C52,DonGia!$A$4:$D$203,3,FALSE),0))</f>
        <v/>
      </c>
      <c r="I52" s="49" t="n"/>
      <c r="J52" s="50" t="str">
        <f>IF(C52="","",IFERROR(VLOOKUP(C52,DonGia!$A$4:$D$203,4,FALSE),0))</f>
        <v/>
      </c>
      <c r="K52" s="49" t="n"/>
      <c r="L52" s="49" t="n"/>
      <c r="M52" s="51" t="str">
        <f>IF(A52="","",E52*H52+D52*F52/60*G52+D52*I52*J52+D52*K52+D52*L52)</f>
        <v/>
      </c>
      <c r="N52" s="50">
        <f>IFERROR(M52/D52,0)</f>
        <v>0</v>
      </c>
    </row>
    <row r="53">
      <c r="A53" s="49" t="n"/>
      <c r="B53" s="49" t="n"/>
      <c r="C53" s="49" t="n"/>
      <c r="D53" s="50" t="str">
        <f>IF(A53="","",IFERROR(VLOOKUP(A53,TinhGia!$A$4:$B$53,2,FALSE),0))</f>
        <v/>
      </c>
      <c r="E53" s="49" t="n"/>
      <c r="F53" s="49" t="n"/>
      <c r="G53" s="51" t="str">
        <f>IF(C53="","",IFERROR(VLOOKUP(C53,DonGia!$A$4:$D$203,2,FALSE),0))</f>
        <v/>
      </c>
      <c r="H53" s="51" t="str">
        <f>IF(C53="","",IFERROR(VLOOKUP(C53,DonGia!$A$4:$D$203,3,FALSE),0))</f>
        <v/>
      </c>
      <c r="I53" s="49" t="n"/>
      <c r="J53" s="50" t="str">
        <f>IF(C53="","",IFERROR(VLOOKUP(C53,DonGia!$A$4:$D$203,4,FALSE),0))</f>
        <v/>
      </c>
      <c r="K53" s="49" t="n"/>
      <c r="L53" s="49" t="n"/>
      <c r="M53" s="51" t="str">
        <f>IF(A53="","",E53*H53+D53*F53/60*G53+D53*I53*J53+D53*K53+D53*L53)</f>
        <v/>
      </c>
      <c r="N53" s="50">
        <f>IFERROR(M53/D53,0)</f>
        <v>0</v>
      </c>
    </row>
    <row r="54">
      <c r="A54" s="49" t="n"/>
      <c r="B54" s="49" t="n"/>
      <c r="C54" s="49" t="n"/>
      <c r="D54" s="50" t="str">
        <f>IF(A54="","",IFERROR(VLOOKUP(A54,TinhGia!$A$4:$B$53,2,FALSE),0))</f>
        <v/>
      </c>
      <c r="E54" s="49" t="n"/>
      <c r="F54" s="49" t="n"/>
      <c r="G54" s="51" t="str">
        <f>IF(C54="","",IFERROR(VLOOKUP(C54,DonGia!$A$4:$D$203,2,FALSE),0))</f>
        <v/>
      </c>
      <c r="H54" s="51" t="str">
        <f>IF(C54="","",IFERROR(VLOOKUP(C54,DonGia!$A$4:$D$203,3,FALSE),0))</f>
        <v/>
      </c>
      <c r="I54" s="49" t="n"/>
      <c r="J54" s="50" t="str">
        <f>IF(C54="","",IFERROR(VLOOKUP(C54,DonGia!$A$4:$D$203,4,FALSE),0))</f>
        <v/>
      </c>
      <c r="K54" s="49" t="n"/>
      <c r="L54" s="49" t="n"/>
      <c r="M54" s="51" t="str">
        <f>IF(A54="","",E54*H54+D54*F54/60*G54+D54*I54*J54+D54*K54+D54*L54)</f>
        <v/>
      </c>
      <c r="N54" s="50">
        <f>IFERROR(M54/D54,0)</f>
        <v>0</v>
      </c>
    </row>
    <row r="55">
      <c r="A55" s="49" t="n"/>
      <c r="B55" s="49" t="n"/>
      <c r="C55" s="49" t="n"/>
      <c r="D55" s="50" t="str">
        <f>IF(A55="","",IFERROR(VLOOKUP(A55,TinhGia!$A$4:$B$53,2,FALSE),0))</f>
        <v/>
      </c>
      <c r="E55" s="49" t="n"/>
      <c r="F55" s="49" t="n"/>
      <c r="G55" s="51" t="str">
        <f>IF(C55="","",IFERROR(VLOOKUP(C55,DonGia!$A$4:$D$203,2,FALSE),0))</f>
        <v/>
      </c>
      <c r="H55" s="51" t="str">
        <f>IF(C55="","",IFERROR(VLOOKUP(C55,DonGia!$A$4:$D$203,3,FALSE),0))</f>
        <v/>
      </c>
      <c r="I55" s="49" t="n"/>
      <c r="J55" s="50" t="str">
        <f>IF(C55="","",IFERROR(VLOOKUP(C55,DonGia!$A$4:$D$203,4,FALSE),0))</f>
        <v/>
      </c>
      <c r="K55" s="49" t="n"/>
      <c r="L55" s="49" t="n"/>
      <c r="M55" s="51" t="str">
        <f>IF(A55="","",E55*H55+D55*F55/60*G55+D55*I55*J55+D55*K55+D55*L55)</f>
        <v/>
      </c>
      <c r="N55" s="50">
        <f>IFERROR(M55/D55,0)</f>
        <v>0</v>
      </c>
    </row>
    <row r="56">
      <c r="A56" s="49" t="n"/>
      <c r="B56" s="49" t="n"/>
      <c r="C56" s="49" t="n"/>
      <c r="D56" s="50" t="str">
        <f>IF(A56="","",IFERROR(VLOOKUP(A56,TinhGia!$A$4:$B$53,2,FALSE),0))</f>
        <v/>
      </c>
      <c r="E56" s="49" t="n"/>
      <c r="F56" s="49" t="n"/>
      <c r="G56" s="51" t="str">
        <f>IF(C56="","",IFERROR(VLOOKUP(C56,DonGia!$A$4:$D$203,2,FALSE),0))</f>
        <v/>
      </c>
      <c r="H56" s="51" t="str">
        <f>IF(C56="","",IFERROR(VLOOKUP(C56,DonGia!$A$4:$D$203,3,FALSE),0))</f>
        <v/>
      </c>
      <c r="I56" s="49" t="n"/>
      <c r="J56" s="50" t="str">
        <f>IF(C56="","",IFERROR(VLOOKUP(C56,DonGia!$A$4:$D$203,4,FALSE),0))</f>
        <v/>
      </c>
      <c r="K56" s="49" t="n"/>
      <c r="L56" s="49" t="n"/>
      <c r="M56" s="51" t="str">
        <f>IF(A56="","",E56*H56+D56*F56/60*G56+D56*I56*J56+D56*K56+D56*L56)</f>
        <v/>
      </c>
      <c r="N56" s="50">
        <f>IFERROR(M56/D56,0)</f>
        <v>0</v>
      </c>
    </row>
    <row r="57">
      <c r="A57" s="49" t="n"/>
      <c r="B57" s="49" t="n"/>
      <c r="C57" s="49" t="n"/>
      <c r="D57" s="50" t="str">
        <f>IF(A57="","",IFERROR(VLOOKUP(A57,TinhGia!$A$4:$B$53,2,FALSE),0))</f>
        <v/>
      </c>
      <c r="E57" s="49" t="n"/>
      <c r="F57" s="49" t="n"/>
      <c r="G57" s="51" t="str">
        <f>IF(C57="","",IFERROR(VLOOKUP(C57,DonGia!$A$4:$D$203,2,FALSE),0))</f>
        <v/>
      </c>
      <c r="H57" s="51" t="str">
        <f>IF(C57="","",IFERROR(VLOOKUP(C57,DonGia!$A$4:$D$203,3,FALSE),0))</f>
        <v/>
      </c>
      <c r="I57" s="49" t="n"/>
      <c r="J57" s="50" t="str">
        <f>IF(C57="","",IFERROR(VLOOKUP(C57,DonGia!$A$4:$D$203,4,FALSE),0))</f>
        <v/>
      </c>
      <c r="K57" s="49" t="n"/>
      <c r="L57" s="49" t="n"/>
      <c r="M57" s="51" t="str">
        <f>IF(A57="","",E57*H57+D57*F57/60*G57+D57*I57*J57+D57*K57+D57*L57)</f>
        <v/>
      </c>
      <c r="N57" s="50">
        <f>IFERROR(M57/D57,0)</f>
        <v>0</v>
      </c>
    </row>
    <row r="58">
      <c r="A58" s="49" t="n"/>
      <c r="B58" s="49" t="n"/>
      <c r="C58" s="49" t="n"/>
      <c r="D58" s="50" t="str">
        <f>IF(A58="","",IFERROR(VLOOKUP(A58,TinhGia!$A$4:$B$53,2,FALSE),0))</f>
        <v/>
      </c>
      <c r="E58" s="49" t="n"/>
      <c r="F58" s="49" t="n"/>
      <c r="G58" s="51" t="str">
        <f>IF(C58="","",IFERROR(VLOOKUP(C58,DonGia!$A$4:$D$203,2,FALSE),0))</f>
        <v/>
      </c>
      <c r="H58" s="51" t="str">
        <f>IF(C58="","",IFERROR(VLOOKUP(C58,DonGia!$A$4:$D$203,3,FALSE),0))</f>
        <v/>
      </c>
      <c r="I58" s="49" t="n"/>
      <c r="J58" s="50" t="str">
        <f>IF(C58="","",IFERROR(VLOOKUP(C58,DonGia!$A$4:$D$203,4,FALSE),0))</f>
        <v/>
      </c>
      <c r="K58" s="49" t="n"/>
      <c r="L58" s="49" t="n"/>
      <c r="M58" s="51" t="str">
        <f>IF(A58="","",E58*H58+D58*F58/60*G58+D58*I58*J58+D58*K58+D58*L58)</f>
        <v/>
      </c>
      <c r="N58" s="50">
        <f>IFERROR(M58/D58,0)</f>
        <v>0</v>
      </c>
    </row>
    <row r="59">
      <c r="A59" s="49" t="n"/>
      <c r="B59" s="49" t="n"/>
      <c r="C59" s="49" t="n"/>
      <c r="D59" s="50" t="str">
        <f>IF(A59="","",IFERROR(VLOOKUP(A59,TinhGia!$A$4:$B$53,2,FALSE),0))</f>
        <v/>
      </c>
      <c r="E59" s="49" t="n"/>
      <c r="F59" s="49" t="n"/>
      <c r="G59" s="51" t="str">
        <f>IF(C59="","",IFERROR(VLOOKUP(C59,DonGia!$A$4:$D$203,2,FALSE),0))</f>
        <v/>
      </c>
      <c r="H59" s="51" t="str">
        <f>IF(C59="","",IFERROR(VLOOKUP(C59,DonGia!$A$4:$D$203,3,FALSE),0))</f>
        <v/>
      </c>
      <c r="I59" s="49" t="n"/>
      <c r="J59" s="50" t="str">
        <f>IF(C59="","",IFERROR(VLOOKUP(C59,DonGia!$A$4:$D$203,4,FALSE),0))</f>
        <v/>
      </c>
      <c r="K59" s="49" t="n"/>
      <c r="L59" s="49" t="n"/>
      <c r="M59" s="51" t="str">
        <f>IF(A59="","",E59*H59+D59*F59/60*G59+D59*I59*J59+D59*K59+D59*L59)</f>
        <v/>
      </c>
      <c r="N59" s="50">
        <f>IFERROR(M59/D59,0)</f>
        <v>0</v>
      </c>
    </row>
    <row r="60">
      <c r="A60" s="49" t="n"/>
      <c r="B60" s="49" t="n"/>
      <c r="C60" s="49" t="n"/>
      <c r="D60" s="50" t="str">
        <f>IF(A60="","",IFERROR(VLOOKUP(A60,TinhGia!$A$4:$B$53,2,FALSE),0))</f>
        <v/>
      </c>
      <c r="E60" s="49" t="n"/>
      <c r="F60" s="49" t="n"/>
      <c r="G60" s="51" t="str">
        <f>IF(C60="","",IFERROR(VLOOKUP(C60,DonGia!$A$4:$D$203,2,FALSE),0))</f>
        <v/>
      </c>
      <c r="H60" s="51" t="str">
        <f>IF(C60="","",IFERROR(VLOOKUP(C60,DonGia!$A$4:$D$203,3,FALSE),0))</f>
        <v/>
      </c>
      <c r="I60" s="49" t="n"/>
      <c r="J60" s="50" t="str">
        <f>IF(C60="","",IFERROR(VLOOKUP(C60,DonGia!$A$4:$D$203,4,FALSE),0))</f>
        <v/>
      </c>
      <c r="K60" s="49" t="n"/>
      <c r="L60" s="49" t="n"/>
      <c r="M60" s="51" t="str">
        <f>IF(A60="","",E60*H60+D60*F60/60*G60+D60*I60*J60+D60*K60+D60*L60)</f>
        <v/>
      </c>
      <c r="N60" s="50">
        <f>IFERROR(M60/D60,0)</f>
        <v>0</v>
      </c>
    </row>
    <row r="61">
      <c r="A61" s="49" t="n"/>
      <c r="B61" s="49" t="n"/>
      <c r="C61" s="49" t="n"/>
      <c r="D61" s="50" t="str">
        <f>IF(A61="","",IFERROR(VLOOKUP(A61,TinhGia!$A$4:$B$53,2,FALSE),0))</f>
        <v/>
      </c>
      <c r="E61" s="49" t="n"/>
      <c r="F61" s="49" t="n"/>
      <c r="G61" s="51" t="str">
        <f>IF(C61="","",IFERROR(VLOOKUP(C61,DonGia!$A$4:$D$203,2,FALSE),0))</f>
        <v/>
      </c>
      <c r="H61" s="51" t="str">
        <f>IF(C61="","",IFERROR(VLOOKUP(C61,DonGia!$A$4:$D$203,3,FALSE),0))</f>
        <v/>
      </c>
      <c r="I61" s="49" t="n"/>
      <c r="J61" s="50" t="str">
        <f>IF(C61="","",IFERROR(VLOOKUP(C61,DonGia!$A$4:$D$203,4,FALSE),0))</f>
        <v/>
      </c>
      <c r="K61" s="49" t="n"/>
      <c r="L61" s="49" t="n"/>
      <c r="M61" s="51" t="str">
        <f>IF(A61="","",E61*H61+D61*F61/60*G61+D61*I61*J61+D61*K61+D61*L61)</f>
        <v/>
      </c>
      <c r="N61" s="50">
        <f>IFERROR(M61/D61,0)</f>
        <v>0</v>
      </c>
    </row>
    <row r="62">
      <c r="A62" s="49" t="n"/>
      <c r="B62" s="49" t="n"/>
      <c r="C62" s="49" t="n"/>
      <c r="D62" s="50" t="str">
        <f>IF(A62="","",IFERROR(VLOOKUP(A62,TinhGia!$A$4:$B$53,2,FALSE),0))</f>
        <v/>
      </c>
      <c r="E62" s="49" t="n"/>
      <c r="F62" s="49" t="n"/>
      <c r="G62" s="51" t="str">
        <f>IF(C62="","",IFERROR(VLOOKUP(C62,DonGia!$A$4:$D$203,2,FALSE),0))</f>
        <v/>
      </c>
      <c r="H62" s="51" t="str">
        <f>IF(C62="","",IFERROR(VLOOKUP(C62,DonGia!$A$4:$D$203,3,FALSE),0))</f>
        <v/>
      </c>
      <c r="I62" s="49" t="n"/>
      <c r="J62" s="50" t="str">
        <f>IF(C62="","",IFERROR(VLOOKUP(C62,DonGia!$A$4:$D$203,4,FALSE),0))</f>
        <v/>
      </c>
      <c r="K62" s="49" t="n"/>
      <c r="L62" s="49" t="n"/>
      <c r="M62" s="51" t="str">
        <f>IF(A62="","",E62*H62+D62*F62/60*G62+D62*I62*J62+D62*K62+D62*L62)</f>
        <v/>
      </c>
      <c r="N62" s="50">
        <f>IFERROR(M62/D62,0)</f>
        <v>0</v>
      </c>
    </row>
    <row r="63">
      <c r="A63" s="49" t="n"/>
      <c r="B63" s="49" t="n"/>
      <c r="C63" s="49" t="n"/>
      <c r="D63" s="50" t="str">
        <f>IF(A63="","",IFERROR(VLOOKUP(A63,TinhGia!$A$4:$B$53,2,FALSE),0))</f>
        <v/>
      </c>
      <c r="E63" s="49" t="n"/>
      <c r="F63" s="49" t="n"/>
      <c r="G63" s="51" t="str">
        <f>IF(C63="","",IFERROR(VLOOKUP(C63,DonGia!$A$4:$D$203,2,FALSE),0))</f>
        <v/>
      </c>
      <c r="H63" s="51" t="str">
        <f>IF(C63="","",IFERROR(VLOOKUP(C63,DonGia!$A$4:$D$203,3,FALSE),0))</f>
        <v/>
      </c>
      <c r="I63" s="49" t="n"/>
      <c r="J63" s="50" t="str">
        <f>IF(C63="","",IFERROR(VLOOKUP(C63,DonGia!$A$4:$D$203,4,FALSE),0))</f>
        <v/>
      </c>
      <c r="K63" s="49" t="n"/>
      <c r="L63" s="49" t="n"/>
      <c r="M63" s="51" t="str">
        <f>IF(A63="","",E63*H63+D63*F63/60*G63+D63*I63*J63+D63*K63+D63*L63)</f>
        <v/>
      </c>
      <c r="N63" s="50">
        <f>IFERROR(M63/D63,0)</f>
        <v>0</v>
      </c>
    </row>
    <row r="64">
      <c r="A64" s="49" t="n"/>
      <c r="B64" s="49" t="n"/>
      <c r="C64" s="49" t="n"/>
      <c r="D64" s="50" t="str">
        <f>IF(A64="","",IFERROR(VLOOKUP(A64,TinhGia!$A$4:$B$53,2,FALSE),0))</f>
        <v/>
      </c>
      <c r="E64" s="49" t="n"/>
      <c r="F64" s="49" t="n"/>
      <c r="G64" s="51" t="str">
        <f>IF(C64="","",IFERROR(VLOOKUP(C64,DonGia!$A$4:$D$203,2,FALSE),0))</f>
        <v/>
      </c>
      <c r="H64" s="51" t="str">
        <f>IF(C64="","",IFERROR(VLOOKUP(C64,DonGia!$A$4:$D$203,3,FALSE),0))</f>
        <v/>
      </c>
      <c r="I64" s="49" t="n"/>
      <c r="J64" s="50" t="str">
        <f>IF(C64="","",IFERROR(VLOOKUP(C64,DonGia!$A$4:$D$203,4,FALSE),0))</f>
        <v/>
      </c>
      <c r="K64" s="49" t="n"/>
      <c r="L64" s="49" t="n"/>
      <c r="M64" s="51" t="str">
        <f>IF(A64="","",E64*H64+D64*F64/60*G64+D64*I64*J64+D64*K64+D64*L64)</f>
        <v/>
      </c>
      <c r="N64" s="50">
        <f>IFERROR(M64/D64,0)</f>
        <v>0</v>
      </c>
    </row>
    <row r="65">
      <c r="A65" s="49" t="n"/>
      <c r="B65" s="49" t="n"/>
      <c r="C65" s="49" t="n"/>
      <c r="D65" s="50" t="str">
        <f>IF(A65="","",IFERROR(VLOOKUP(A65,TinhGia!$A$4:$B$53,2,FALSE),0))</f>
        <v/>
      </c>
      <c r="E65" s="49" t="n"/>
      <c r="F65" s="49" t="n"/>
      <c r="G65" s="51" t="str">
        <f>IF(C65="","",IFERROR(VLOOKUP(C65,DonGia!$A$4:$D$203,2,FALSE),0))</f>
        <v/>
      </c>
      <c r="H65" s="51" t="str">
        <f>IF(C65="","",IFERROR(VLOOKUP(C65,DonGia!$A$4:$D$203,3,FALSE),0))</f>
        <v/>
      </c>
      <c r="I65" s="49" t="n"/>
      <c r="J65" s="50" t="str">
        <f>IF(C65="","",IFERROR(VLOOKUP(C65,DonGia!$A$4:$D$203,4,FALSE),0))</f>
        <v/>
      </c>
      <c r="K65" s="49" t="n"/>
      <c r="L65" s="49" t="n"/>
      <c r="M65" s="51" t="str">
        <f>IF(A65="","",E65*H65+D65*F65/60*G65+D65*I65*J65+D65*K65+D65*L65)</f>
        <v/>
      </c>
      <c r="N65" s="50">
        <f>IFERROR(M65/D65,0)</f>
        <v>0</v>
      </c>
    </row>
    <row r="66">
      <c r="A66" s="49" t="n"/>
      <c r="B66" s="49" t="n"/>
      <c r="C66" s="49" t="n"/>
      <c r="D66" s="50" t="str">
        <f>IF(A66="","",IFERROR(VLOOKUP(A66,TinhGia!$A$4:$B$53,2,FALSE),0))</f>
        <v/>
      </c>
      <c r="E66" s="49" t="n"/>
      <c r="F66" s="49" t="n"/>
      <c r="G66" s="51" t="str">
        <f>IF(C66="","",IFERROR(VLOOKUP(C66,DonGia!$A$4:$D$203,2,FALSE),0))</f>
        <v/>
      </c>
      <c r="H66" s="51" t="str">
        <f>IF(C66="","",IFERROR(VLOOKUP(C66,DonGia!$A$4:$D$203,3,FALSE),0))</f>
        <v/>
      </c>
      <c r="I66" s="49" t="n"/>
      <c r="J66" s="50" t="str">
        <f>IF(C66="","",IFERROR(VLOOKUP(C66,DonGia!$A$4:$D$203,4,FALSE),0))</f>
        <v/>
      </c>
      <c r="K66" s="49" t="n"/>
      <c r="L66" s="49" t="n"/>
      <c r="M66" s="51" t="str">
        <f>IF(A66="","",E66*H66+D66*F66/60*G66+D66*I66*J66+D66*K66+D66*L66)</f>
        <v/>
      </c>
      <c r="N66" s="50">
        <f>IFERROR(M66/D66,0)</f>
        <v>0</v>
      </c>
    </row>
    <row r="67">
      <c r="A67" s="49" t="n"/>
      <c r="B67" s="49" t="n"/>
      <c r="C67" s="49" t="n"/>
      <c r="D67" s="50" t="str">
        <f>IF(A67="","",IFERROR(VLOOKUP(A67,TinhGia!$A$4:$B$53,2,FALSE),0))</f>
        <v/>
      </c>
      <c r="E67" s="49" t="n"/>
      <c r="F67" s="49" t="n"/>
      <c r="G67" s="51" t="str">
        <f>IF(C67="","",IFERROR(VLOOKUP(C67,DonGia!$A$4:$D$203,2,FALSE),0))</f>
        <v/>
      </c>
      <c r="H67" s="51" t="str">
        <f>IF(C67="","",IFERROR(VLOOKUP(C67,DonGia!$A$4:$D$203,3,FALSE),0))</f>
        <v/>
      </c>
      <c r="I67" s="49" t="n"/>
      <c r="J67" s="50" t="str">
        <f>IF(C67="","",IFERROR(VLOOKUP(C67,DonGia!$A$4:$D$203,4,FALSE),0))</f>
        <v/>
      </c>
      <c r="K67" s="49" t="n"/>
      <c r="L67" s="49" t="n"/>
      <c r="M67" s="51" t="str">
        <f>IF(A67="","",E67*H67+D67*F67/60*G67+D67*I67*J67+D67*K67+D67*L67)</f>
        <v/>
      </c>
      <c r="N67" s="50">
        <f>IFERROR(M67/D67,0)</f>
        <v>0</v>
      </c>
    </row>
    <row r="68">
      <c r="A68" s="49" t="n"/>
      <c r="B68" s="49" t="n"/>
      <c r="C68" s="49" t="n"/>
      <c r="D68" s="50" t="str">
        <f>IF(A68="","",IFERROR(VLOOKUP(A68,TinhGia!$A$4:$B$53,2,FALSE),0))</f>
        <v/>
      </c>
      <c r="E68" s="49" t="n"/>
      <c r="F68" s="49" t="n"/>
      <c r="G68" s="51" t="str">
        <f>IF(C68="","",IFERROR(VLOOKUP(C68,DonGia!$A$4:$D$203,2,FALSE),0))</f>
        <v/>
      </c>
      <c r="H68" s="51" t="str">
        <f>IF(C68="","",IFERROR(VLOOKUP(C68,DonGia!$A$4:$D$203,3,FALSE),0))</f>
        <v/>
      </c>
      <c r="I68" s="49" t="n"/>
      <c r="J68" s="50" t="str">
        <f>IF(C68="","",IFERROR(VLOOKUP(C68,DonGia!$A$4:$D$203,4,FALSE),0))</f>
        <v/>
      </c>
      <c r="K68" s="49" t="n"/>
      <c r="L68" s="49" t="n"/>
      <c r="M68" s="51" t="str">
        <f>IF(A68="","",E68*H68+D68*F68/60*G68+D68*I68*J68+D68*K68+D68*L68)</f>
        <v/>
      </c>
      <c r="N68" s="50">
        <f>IFERROR(M68/D68,0)</f>
        <v>0</v>
      </c>
    </row>
    <row r="69">
      <c r="A69" s="49" t="n"/>
      <c r="B69" s="49" t="n"/>
      <c r="C69" s="49" t="n"/>
      <c r="D69" s="50" t="str">
        <f>IF(A69="","",IFERROR(VLOOKUP(A69,TinhGia!$A$4:$B$53,2,FALSE),0))</f>
        <v/>
      </c>
      <c r="E69" s="49" t="n"/>
      <c r="F69" s="49" t="n"/>
      <c r="G69" s="51" t="str">
        <f>IF(C69="","",IFERROR(VLOOKUP(C69,DonGia!$A$4:$D$203,2,FALSE),0))</f>
        <v/>
      </c>
      <c r="H69" s="51" t="str">
        <f>IF(C69="","",IFERROR(VLOOKUP(C69,DonGia!$A$4:$D$203,3,FALSE),0))</f>
        <v/>
      </c>
      <c r="I69" s="49" t="n"/>
      <c r="J69" s="50" t="str">
        <f>IF(C69="","",IFERROR(VLOOKUP(C69,DonGia!$A$4:$D$203,4,FALSE),0))</f>
        <v/>
      </c>
      <c r="K69" s="49" t="n"/>
      <c r="L69" s="49" t="n"/>
      <c r="M69" s="51" t="str">
        <f>IF(A69="","",E69*H69+D69*F69/60*G69+D69*I69*J69+D69*K69+D69*L69)</f>
        <v/>
      </c>
      <c r="N69" s="50">
        <f>IFERROR(M69/D69,0)</f>
        <v>0</v>
      </c>
    </row>
    <row r="70">
      <c r="A70" s="49" t="n"/>
      <c r="B70" s="49" t="n"/>
      <c r="C70" s="49" t="n"/>
      <c r="D70" s="50" t="str">
        <f>IF(A70="","",IFERROR(VLOOKUP(A70,TinhGia!$A$4:$B$53,2,FALSE),0))</f>
        <v/>
      </c>
      <c r="E70" s="49" t="n"/>
      <c r="F70" s="49" t="n"/>
      <c r="G70" s="51" t="str">
        <f>IF(C70="","",IFERROR(VLOOKUP(C70,DonGia!$A$4:$D$203,2,FALSE),0))</f>
        <v/>
      </c>
      <c r="H70" s="51" t="str">
        <f>IF(C70="","",IFERROR(VLOOKUP(C70,DonGia!$A$4:$D$203,3,FALSE),0))</f>
        <v/>
      </c>
      <c r="I70" s="49" t="n"/>
      <c r="J70" s="50" t="str">
        <f>IF(C70="","",IFERROR(VLOOKUP(C70,DonGia!$A$4:$D$203,4,FALSE),0))</f>
        <v/>
      </c>
      <c r="K70" s="49" t="n"/>
      <c r="L70" s="49" t="n"/>
      <c r="M70" s="51" t="str">
        <f>IF(A70="","",E70*H70+D70*F70/60*G70+D70*I70*J70+D70*K70+D70*L70)</f>
        <v/>
      </c>
      <c r="N70" s="50">
        <f>IFERROR(M70/D70,0)</f>
        <v>0</v>
      </c>
    </row>
    <row r="71">
      <c r="A71" s="49" t="n"/>
      <c r="B71" s="49" t="n"/>
      <c r="C71" s="49" t="n"/>
      <c r="D71" s="50" t="str">
        <f>IF(A71="","",IFERROR(VLOOKUP(A71,TinhGia!$A$4:$B$53,2,FALSE),0))</f>
        <v/>
      </c>
      <c r="E71" s="49" t="n"/>
      <c r="F71" s="49" t="n"/>
      <c r="G71" s="51" t="str">
        <f>IF(C71="","",IFERROR(VLOOKUP(C71,DonGia!$A$4:$D$203,2,FALSE),0))</f>
        <v/>
      </c>
      <c r="H71" s="51" t="str">
        <f>IF(C71="","",IFERROR(VLOOKUP(C71,DonGia!$A$4:$D$203,3,FALSE),0))</f>
        <v/>
      </c>
      <c r="I71" s="49" t="n"/>
      <c r="J71" s="50" t="str">
        <f>IF(C71="","",IFERROR(VLOOKUP(C71,DonGia!$A$4:$D$203,4,FALSE),0))</f>
        <v/>
      </c>
      <c r="K71" s="49" t="n"/>
      <c r="L71" s="49" t="n"/>
      <c r="M71" s="51" t="str">
        <f>IF(A71="","",E71*H71+D71*F71/60*G71+D71*I71*J71+D71*K71+D71*L71)</f>
        <v/>
      </c>
      <c r="N71" s="50">
        <f>IFERROR(M71/D71,0)</f>
        <v>0</v>
      </c>
    </row>
    <row r="72">
      <c r="A72" s="49" t="n"/>
      <c r="B72" s="49" t="n"/>
      <c r="C72" s="49" t="n"/>
      <c r="D72" s="50" t="str">
        <f>IF(A72="","",IFERROR(VLOOKUP(A72,TinhGia!$A$4:$B$53,2,FALSE),0))</f>
        <v/>
      </c>
      <c r="E72" s="49" t="n"/>
      <c r="F72" s="49" t="n"/>
      <c r="G72" s="51" t="str">
        <f>IF(C72="","",IFERROR(VLOOKUP(C72,DonGia!$A$4:$D$203,2,FALSE),0))</f>
        <v/>
      </c>
      <c r="H72" s="51" t="str">
        <f>IF(C72="","",IFERROR(VLOOKUP(C72,DonGia!$A$4:$D$203,3,FALSE),0))</f>
        <v/>
      </c>
      <c r="I72" s="49" t="n"/>
      <c r="J72" s="50" t="str">
        <f>IF(C72="","",IFERROR(VLOOKUP(C72,DonGia!$A$4:$D$203,4,FALSE),0))</f>
        <v/>
      </c>
      <c r="K72" s="49" t="n"/>
      <c r="L72" s="49" t="n"/>
      <c r="M72" s="51" t="str">
        <f>IF(A72="","",E72*H72+D72*F72/60*G72+D72*I72*J72+D72*K72+D72*L72)</f>
        <v/>
      </c>
      <c r="N72" s="50">
        <f>IFERROR(M72/D72,0)</f>
        <v>0</v>
      </c>
    </row>
    <row r="73">
      <c r="A73" s="49" t="n"/>
      <c r="B73" s="49" t="n"/>
      <c r="C73" s="49" t="n"/>
      <c r="D73" s="50" t="str">
        <f>IF(A73="","",IFERROR(VLOOKUP(A73,TinhGia!$A$4:$B$53,2,FALSE),0))</f>
        <v/>
      </c>
      <c r="E73" s="49" t="n"/>
      <c r="F73" s="49" t="n"/>
      <c r="G73" s="51" t="str">
        <f>IF(C73="","",IFERROR(VLOOKUP(C73,DonGia!$A$4:$D$203,2,FALSE),0))</f>
        <v/>
      </c>
      <c r="H73" s="51" t="str">
        <f>IF(C73="","",IFERROR(VLOOKUP(C73,DonGia!$A$4:$D$203,3,FALSE),0))</f>
        <v/>
      </c>
      <c r="I73" s="49" t="n"/>
      <c r="J73" s="50" t="str">
        <f>IF(C73="","",IFERROR(VLOOKUP(C73,DonGia!$A$4:$D$203,4,FALSE),0))</f>
        <v/>
      </c>
      <c r="K73" s="49" t="n"/>
      <c r="L73" s="49" t="n"/>
      <c r="M73" s="51" t="str">
        <f>IF(A73="","",E73*H73+D73*F73/60*G73+D73*I73*J73+D73*K73+D73*L73)</f>
        <v/>
      </c>
      <c r="N73" s="50">
        <f>IFERROR(M73/D73,0)</f>
        <v>0</v>
      </c>
    </row>
    <row r="74">
      <c r="A74" s="49" t="n"/>
      <c r="B74" s="49" t="n"/>
      <c r="C74" s="49" t="n"/>
      <c r="D74" s="50" t="str">
        <f>IF(A74="","",IFERROR(VLOOKUP(A74,TinhGia!$A$4:$B$53,2,FALSE),0))</f>
        <v/>
      </c>
      <c r="E74" s="49" t="n"/>
      <c r="F74" s="49" t="n"/>
      <c r="G74" s="51" t="str">
        <f>IF(C74="","",IFERROR(VLOOKUP(C74,DonGia!$A$4:$D$203,2,FALSE),0))</f>
        <v/>
      </c>
      <c r="H74" s="51" t="str">
        <f>IF(C74="","",IFERROR(VLOOKUP(C74,DonGia!$A$4:$D$203,3,FALSE),0))</f>
        <v/>
      </c>
      <c r="I74" s="49" t="n"/>
      <c r="J74" s="50" t="str">
        <f>IF(C74="","",IFERROR(VLOOKUP(C74,DonGia!$A$4:$D$203,4,FALSE),0))</f>
        <v/>
      </c>
      <c r="K74" s="49" t="n"/>
      <c r="L74" s="49" t="n"/>
      <c r="M74" s="51" t="str">
        <f>IF(A74="","",E74*H74+D74*F74/60*G74+D74*I74*J74+D74*K74+D74*L74)</f>
        <v/>
      </c>
      <c r="N74" s="50">
        <f>IFERROR(M74/D74,0)</f>
        <v>0</v>
      </c>
    </row>
    <row r="75">
      <c r="A75" s="49" t="n"/>
      <c r="B75" s="49" t="n"/>
      <c r="C75" s="49" t="n"/>
      <c r="D75" s="50" t="str">
        <f>IF(A75="","",IFERROR(VLOOKUP(A75,TinhGia!$A$4:$B$53,2,FALSE),0))</f>
        <v/>
      </c>
      <c r="E75" s="49" t="n"/>
      <c r="F75" s="49" t="n"/>
      <c r="G75" s="51" t="str">
        <f>IF(C75="","",IFERROR(VLOOKUP(C75,DonGia!$A$4:$D$203,2,FALSE),0))</f>
        <v/>
      </c>
      <c r="H75" s="51" t="str">
        <f>IF(C75="","",IFERROR(VLOOKUP(C75,DonGia!$A$4:$D$203,3,FALSE),0))</f>
        <v/>
      </c>
      <c r="I75" s="49" t="n"/>
      <c r="J75" s="50" t="str">
        <f>IF(C75="","",IFERROR(VLOOKUP(C75,DonGia!$A$4:$D$203,4,FALSE),0))</f>
        <v/>
      </c>
      <c r="K75" s="49" t="n"/>
      <c r="L75" s="49" t="n"/>
      <c r="M75" s="51" t="str">
        <f>IF(A75="","",E75*H75+D75*F75/60*G75+D75*I75*J75+D75*K75+D75*L75)</f>
        <v/>
      </c>
      <c r="N75" s="50">
        <f>IFERROR(M75/D75,0)</f>
        <v>0</v>
      </c>
    </row>
    <row r="76">
      <c r="A76" s="49" t="n"/>
      <c r="B76" s="49" t="n"/>
      <c r="C76" s="49" t="n"/>
      <c r="D76" s="50" t="str">
        <f>IF(A76="","",IFERROR(VLOOKUP(A76,TinhGia!$A$4:$B$53,2,FALSE),0))</f>
        <v/>
      </c>
      <c r="E76" s="49" t="n"/>
      <c r="F76" s="49" t="n"/>
      <c r="G76" s="51" t="str">
        <f>IF(C76="","",IFERROR(VLOOKUP(C76,DonGia!$A$4:$D$203,2,FALSE),0))</f>
        <v/>
      </c>
      <c r="H76" s="51" t="str">
        <f>IF(C76="","",IFERROR(VLOOKUP(C76,DonGia!$A$4:$D$203,3,FALSE),0))</f>
        <v/>
      </c>
      <c r="I76" s="49" t="n"/>
      <c r="J76" s="50" t="str">
        <f>IF(C76="","",IFERROR(VLOOKUP(C76,DonGia!$A$4:$D$203,4,FALSE),0))</f>
        <v/>
      </c>
      <c r="K76" s="49" t="n"/>
      <c r="L76" s="49" t="n"/>
      <c r="M76" s="51" t="str">
        <f>IF(A76="","",E76*H76+D76*F76/60*G76+D76*I76*J76+D76*K76+D76*L76)</f>
        <v/>
      </c>
      <c r="N76" s="50">
        <f>IFERROR(M76/D76,0)</f>
        <v>0</v>
      </c>
    </row>
    <row r="77">
      <c r="A77" s="49" t="n"/>
      <c r="B77" s="49" t="n"/>
      <c r="C77" s="49" t="n"/>
      <c r="D77" s="50" t="str">
        <f>IF(A77="","",IFERROR(VLOOKUP(A77,TinhGia!$A$4:$B$53,2,FALSE),0))</f>
        <v/>
      </c>
      <c r="E77" s="49" t="n"/>
      <c r="F77" s="49" t="n"/>
      <c r="G77" s="51" t="str">
        <f>IF(C77="","",IFERROR(VLOOKUP(C77,DonGia!$A$4:$D$203,2,FALSE),0))</f>
        <v/>
      </c>
      <c r="H77" s="51" t="str">
        <f>IF(C77="","",IFERROR(VLOOKUP(C77,DonGia!$A$4:$D$203,3,FALSE),0))</f>
        <v/>
      </c>
      <c r="I77" s="49" t="n"/>
      <c r="J77" s="50" t="str">
        <f>IF(C77="","",IFERROR(VLOOKUP(C77,DonGia!$A$4:$D$203,4,FALSE),0))</f>
        <v/>
      </c>
      <c r="K77" s="49" t="n"/>
      <c r="L77" s="49" t="n"/>
      <c r="M77" s="51" t="str">
        <f>IF(A77="","",E77*H77+D77*F77/60*G77+D77*I77*J77+D77*K77+D77*L77)</f>
        <v/>
      </c>
      <c r="N77" s="50">
        <f>IFERROR(M77/D77,0)</f>
        <v>0</v>
      </c>
    </row>
    <row r="78">
      <c r="A78" s="49" t="n"/>
      <c r="B78" s="49" t="n"/>
      <c r="C78" s="49" t="n"/>
      <c r="D78" s="50" t="str">
        <f>IF(A78="","",IFERROR(VLOOKUP(A78,TinhGia!$A$4:$B$53,2,FALSE),0))</f>
        <v/>
      </c>
      <c r="E78" s="49" t="n"/>
      <c r="F78" s="49" t="n"/>
      <c r="G78" s="51" t="str">
        <f>IF(C78="","",IFERROR(VLOOKUP(C78,DonGia!$A$4:$D$203,2,FALSE),0))</f>
        <v/>
      </c>
      <c r="H78" s="51" t="str">
        <f>IF(C78="","",IFERROR(VLOOKUP(C78,DonGia!$A$4:$D$203,3,FALSE),0))</f>
        <v/>
      </c>
      <c r="I78" s="49" t="n"/>
      <c r="J78" s="50" t="str">
        <f>IF(C78="","",IFERROR(VLOOKUP(C78,DonGia!$A$4:$D$203,4,FALSE),0))</f>
        <v/>
      </c>
      <c r="K78" s="49" t="n"/>
      <c r="L78" s="49" t="n"/>
      <c r="M78" s="51" t="str">
        <f>IF(A78="","",E78*H78+D78*F78/60*G78+D78*I78*J78+D78*K78+D78*L78)</f>
        <v/>
      </c>
      <c r="N78" s="50">
        <f>IFERROR(M78/D78,0)</f>
        <v>0</v>
      </c>
    </row>
    <row r="79">
      <c r="A79" s="49" t="n"/>
      <c r="B79" s="49" t="n"/>
      <c r="C79" s="49" t="n"/>
      <c r="D79" s="50" t="str">
        <f>IF(A79="","",IFERROR(VLOOKUP(A79,TinhGia!$A$4:$B$53,2,FALSE),0))</f>
        <v/>
      </c>
      <c r="E79" s="49" t="n"/>
      <c r="F79" s="49" t="n"/>
      <c r="G79" s="51" t="str">
        <f>IF(C79="","",IFERROR(VLOOKUP(C79,DonGia!$A$4:$D$203,2,FALSE),0))</f>
        <v/>
      </c>
      <c r="H79" s="51" t="str">
        <f>IF(C79="","",IFERROR(VLOOKUP(C79,DonGia!$A$4:$D$203,3,FALSE),0))</f>
        <v/>
      </c>
      <c r="I79" s="49" t="n"/>
      <c r="J79" s="50" t="str">
        <f>IF(C79="","",IFERROR(VLOOKUP(C79,DonGia!$A$4:$D$203,4,FALSE),0))</f>
        <v/>
      </c>
      <c r="K79" s="49" t="n"/>
      <c r="L79" s="49" t="n"/>
      <c r="M79" s="51" t="str">
        <f>IF(A79="","",E79*H79+D79*F79/60*G79+D79*I79*J79+D79*K79+D79*L79)</f>
        <v/>
      </c>
      <c r="N79" s="50">
        <f>IFERROR(M79/D79,0)</f>
        <v>0</v>
      </c>
    </row>
    <row r="80">
      <c r="A80" s="49" t="n"/>
      <c r="B80" s="49" t="n"/>
      <c r="C80" s="49" t="n"/>
      <c r="D80" s="50" t="str">
        <f>IF(A80="","",IFERROR(VLOOKUP(A80,TinhGia!$A$4:$B$53,2,FALSE),0))</f>
        <v/>
      </c>
      <c r="E80" s="49" t="n"/>
      <c r="F80" s="49" t="n"/>
      <c r="G80" s="51" t="str">
        <f>IF(C80="","",IFERROR(VLOOKUP(C80,DonGia!$A$4:$D$203,2,FALSE),0))</f>
        <v/>
      </c>
      <c r="H80" s="51" t="str">
        <f>IF(C80="","",IFERROR(VLOOKUP(C80,DonGia!$A$4:$D$203,3,FALSE),0))</f>
        <v/>
      </c>
      <c r="I80" s="49" t="n"/>
      <c r="J80" s="50" t="str">
        <f>IF(C80="","",IFERROR(VLOOKUP(C80,DonGia!$A$4:$D$203,4,FALSE),0))</f>
        <v/>
      </c>
      <c r="K80" s="49" t="n"/>
      <c r="L80" s="49" t="n"/>
      <c r="M80" s="51" t="str">
        <f>IF(A80="","",E80*H80+D80*F80/60*G80+D80*I80*J80+D80*K80+D80*L80)</f>
        <v/>
      </c>
      <c r="N80" s="50">
        <f>IFERROR(M80/D80,0)</f>
        <v>0</v>
      </c>
    </row>
    <row r="81">
      <c r="A81" s="49" t="n"/>
      <c r="B81" s="49" t="n"/>
      <c r="C81" s="49" t="n"/>
      <c r="D81" s="50" t="str">
        <f>IF(A81="","",IFERROR(VLOOKUP(A81,TinhGia!$A$4:$B$53,2,FALSE),0))</f>
        <v/>
      </c>
      <c r="E81" s="49" t="n"/>
      <c r="F81" s="49" t="n"/>
      <c r="G81" s="51" t="str">
        <f>IF(C81="","",IFERROR(VLOOKUP(C81,DonGia!$A$4:$D$203,2,FALSE),0))</f>
        <v/>
      </c>
      <c r="H81" s="51" t="str">
        <f>IF(C81="","",IFERROR(VLOOKUP(C81,DonGia!$A$4:$D$203,3,FALSE),0))</f>
        <v/>
      </c>
      <c r="I81" s="49" t="n"/>
      <c r="J81" s="50" t="str">
        <f>IF(C81="","",IFERROR(VLOOKUP(C81,DonGia!$A$4:$D$203,4,FALSE),0))</f>
        <v/>
      </c>
      <c r="K81" s="49" t="n"/>
      <c r="L81" s="49" t="n"/>
      <c r="M81" s="51" t="str">
        <f>IF(A81="","",E81*H81+D81*F81/60*G81+D81*I81*J81+D81*K81+D81*L81)</f>
        <v/>
      </c>
      <c r="N81" s="50">
        <f>IFERROR(M81/D81,0)</f>
        <v>0</v>
      </c>
    </row>
    <row r="82">
      <c r="A82" s="49" t="n"/>
      <c r="B82" s="49" t="n"/>
      <c r="C82" s="49" t="n"/>
      <c r="D82" s="50" t="str">
        <f>IF(A82="","",IFERROR(VLOOKUP(A82,TinhGia!$A$4:$B$53,2,FALSE),0))</f>
        <v/>
      </c>
      <c r="E82" s="49" t="n"/>
      <c r="F82" s="49" t="n"/>
      <c r="G82" s="51" t="str">
        <f>IF(C82="","",IFERROR(VLOOKUP(C82,DonGia!$A$4:$D$203,2,FALSE),0))</f>
        <v/>
      </c>
      <c r="H82" s="51" t="str">
        <f>IF(C82="","",IFERROR(VLOOKUP(C82,DonGia!$A$4:$D$203,3,FALSE),0))</f>
        <v/>
      </c>
      <c r="I82" s="49" t="n"/>
      <c r="J82" s="50" t="str">
        <f>IF(C82="","",IFERROR(VLOOKUP(C82,DonGia!$A$4:$D$203,4,FALSE),0))</f>
        <v/>
      </c>
      <c r="K82" s="49" t="n"/>
      <c r="L82" s="49" t="n"/>
      <c r="M82" s="51" t="str">
        <f>IF(A82="","",E82*H82+D82*F82/60*G82+D82*I82*J82+D82*K82+D82*L82)</f>
        <v/>
      </c>
      <c r="N82" s="50">
        <f>IFERROR(M82/D82,0)</f>
        <v>0</v>
      </c>
    </row>
    <row r="83">
      <c r="A83" s="49" t="n"/>
      <c r="B83" s="49" t="n"/>
      <c r="C83" s="49" t="n"/>
      <c r="D83" s="50" t="str">
        <f>IF(A83="","",IFERROR(VLOOKUP(A83,TinhGia!$A$4:$B$53,2,FALSE),0))</f>
        <v/>
      </c>
      <c r="E83" s="49" t="n"/>
      <c r="F83" s="49" t="n"/>
      <c r="G83" s="51" t="str">
        <f>IF(C83="","",IFERROR(VLOOKUP(C83,DonGia!$A$4:$D$203,2,FALSE),0))</f>
        <v/>
      </c>
      <c r="H83" s="51" t="str">
        <f>IF(C83="","",IFERROR(VLOOKUP(C83,DonGia!$A$4:$D$203,3,FALSE),0))</f>
        <v/>
      </c>
      <c r="I83" s="49" t="n"/>
      <c r="J83" s="50" t="str">
        <f>IF(C83="","",IFERROR(VLOOKUP(C83,DonGia!$A$4:$D$203,4,FALSE),0))</f>
        <v/>
      </c>
      <c r="K83" s="49" t="n"/>
      <c r="L83" s="49" t="n"/>
      <c r="M83" s="51" t="str">
        <f>IF(A83="","",E83*H83+D83*F83/60*G83+D83*I83*J83+D83*K83+D83*L83)</f>
        <v/>
      </c>
      <c r="N83" s="50">
        <f>IFERROR(M83/D83,0)</f>
        <v>0</v>
      </c>
    </row>
    <row r="84">
      <c r="A84" s="49" t="n"/>
      <c r="B84" s="49" t="n"/>
      <c r="C84" s="49" t="n"/>
      <c r="D84" s="50" t="str">
        <f>IF(A84="","",IFERROR(VLOOKUP(A84,TinhGia!$A$4:$B$53,2,FALSE),0))</f>
        <v/>
      </c>
      <c r="E84" s="49" t="n"/>
      <c r="F84" s="49" t="n"/>
      <c r="G84" s="51" t="str">
        <f>IF(C84="","",IFERROR(VLOOKUP(C84,DonGia!$A$4:$D$203,2,FALSE),0))</f>
        <v/>
      </c>
      <c r="H84" s="51" t="str">
        <f>IF(C84="","",IFERROR(VLOOKUP(C84,DonGia!$A$4:$D$203,3,FALSE),0))</f>
        <v/>
      </c>
      <c r="I84" s="49" t="n"/>
      <c r="J84" s="50" t="str">
        <f>IF(C84="","",IFERROR(VLOOKUP(C84,DonGia!$A$4:$D$203,4,FALSE),0))</f>
        <v/>
      </c>
      <c r="K84" s="49" t="n"/>
      <c r="L84" s="49" t="n"/>
      <c r="M84" s="51" t="str">
        <f>IF(A84="","",E84*H84+D84*F84/60*G84+D84*I84*J84+D84*K84+D84*L84)</f>
        <v/>
      </c>
      <c r="N84" s="50">
        <f>IFERROR(M84/D84,0)</f>
        <v>0</v>
      </c>
    </row>
    <row r="85">
      <c r="A85" s="49" t="n"/>
      <c r="B85" s="49" t="n"/>
      <c r="C85" s="49" t="n"/>
      <c r="D85" s="50" t="str">
        <f>IF(A85="","",IFERROR(VLOOKUP(A85,TinhGia!$A$4:$B$53,2,FALSE),0))</f>
        <v/>
      </c>
      <c r="E85" s="49" t="n"/>
      <c r="F85" s="49" t="n"/>
      <c r="G85" s="51" t="str">
        <f>IF(C85="","",IFERROR(VLOOKUP(C85,DonGia!$A$4:$D$203,2,FALSE),0))</f>
        <v/>
      </c>
      <c r="H85" s="51" t="str">
        <f>IF(C85="","",IFERROR(VLOOKUP(C85,DonGia!$A$4:$D$203,3,FALSE),0))</f>
        <v/>
      </c>
      <c r="I85" s="49" t="n"/>
      <c r="J85" s="50" t="str">
        <f>IF(C85="","",IFERROR(VLOOKUP(C85,DonGia!$A$4:$D$203,4,FALSE),0))</f>
        <v/>
      </c>
      <c r="K85" s="49" t="n"/>
      <c r="L85" s="49" t="n"/>
      <c r="M85" s="51" t="str">
        <f>IF(A85="","",E85*H85+D85*F85/60*G85+D85*I85*J85+D85*K85+D85*L85)</f>
        <v/>
      </c>
      <c r="N85" s="50">
        <f>IFERROR(M85/D85,0)</f>
        <v>0</v>
      </c>
    </row>
    <row r="86">
      <c r="A86" s="49" t="n"/>
      <c r="B86" s="49" t="n"/>
      <c r="C86" s="49" t="n"/>
      <c r="D86" s="50" t="str">
        <f>IF(A86="","",IFERROR(VLOOKUP(A86,TinhGia!$A$4:$B$53,2,FALSE),0))</f>
        <v/>
      </c>
      <c r="E86" s="49" t="n"/>
      <c r="F86" s="49" t="n"/>
      <c r="G86" s="51" t="str">
        <f>IF(C86="","",IFERROR(VLOOKUP(C86,DonGia!$A$4:$D$203,2,FALSE),0))</f>
        <v/>
      </c>
      <c r="H86" s="51" t="str">
        <f>IF(C86="","",IFERROR(VLOOKUP(C86,DonGia!$A$4:$D$203,3,FALSE),0))</f>
        <v/>
      </c>
      <c r="I86" s="49" t="n"/>
      <c r="J86" s="50" t="str">
        <f>IF(C86="","",IFERROR(VLOOKUP(C86,DonGia!$A$4:$D$203,4,FALSE),0))</f>
        <v/>
      </c>
      <c r="K86" s="49" t="n"/>
      <c r="L86" s="49" t="n"/>
      <c r="M86" s="51" t="str">
        <f>IF(A86="","",E86*H86+D86*F86/60*G86+D86*I86*J86+D86*K86+D86*L86)</f>
        <v/>
      </c>
      <c r="N86" s="50">
        <f>IFERROR(M86/D86,0)</f>
        <v>0</v>
      </c>
    </row>
    <row r="87">
      <c r="A87" s="49" t="n"/>
      <c r="B87" s="49" t="n"/>
      <c r="C87" s="49" t="n"/>
      <c r="D87" s="50" t="str">
        <f>IF(A87="","",IFERROR(VLOOKUP(A87,TinhGia!$A$4:$B$53,2,FALSE),0))</f>
        <v/>
      </c>
      <c r="E87" s="49" t="n"/>
      <c r="F87" s="49" t="n"/>
      <c r="G87" s="51" t="str">
        <f>IF(C87="","",IFERROR(VLOOKUP(C87,DonGia!$A$4:$D$203,2,FALSE),0))</f>
        <v/>
      </c>
      <c r="H87" s="51" t="str">
        <f>IF(C87="","",IFERROR(VLOOKUP(C87,DonGia!$A$4:$D$203,3,FALSE),0))</f>
        <v/>
      </c>
      <c r="I87" s="49" t="n"/>
      <c r="J87" s="50" t="str">
        <f>IF(C87="","",IFERROR(VLOOKUP(C87,DonGia!$A$4:$D$203,4,FALSE),0))</f>
        <v/>
      </c>
      <c r="K87" s="49" t="n"/>
      <c r="L87" s="49" t="n"/>
      <c r="M87" s="51" t="str">
        <f>IF(A87="","",E87*H87+D87*F87/60*G87+D87*I87*J87+D87*K87+D87*L87)</f>
        <v/>
      </c>
      <c r="N87" s="50">
        <f>IFERROR(M87/D87,0)</f>
        <v>0</v>
      </c>
    </row>
    <row r="88">
      <c r="A88" s="49" t="n"/>
      <c r="B88" s="49" t="n"/>
      <c r="C88" s="49" t="n"/>
      <c r="D88" s="50" t="str">
        <f>IF(A88="","",IFERROR(VLOOKUP(A88,TinhGia!$A$4:$B$53,2,FALSE),0))</f>
        <v/>
      </c>
      <c r="E88" s="49" t="n"/>
      <c r="F88" s="49" t="n"/>
      <c r="G88" s="51" t="str">
        <f>IF(C88="","",IFERROR(VLOOKUP(C88,DonGia!$A$4:$D$203,2,FALSE),0))</f>
        <v/>
      </c>
      <c r="H88" s="51" t="str">
        <f>IF(C88="","",IFERROR(VLOOKUP(C88,DonGia!$A$4:$D$203,3,FALSE),0))</f>
        <v/>
      </c>
      <c r="I88" s="49" t="n"/>
      <c r="J88" s="50" t="str">
        <f>IF(C88="","",IFERROR(VLOOKUP(C88,DonGia!$A$4:$D$203,4,FALSE),0))</f>
        <v/>
      </c>
      <c r="K88" s="49" t="n"/>
      <c r="L88" s="49" t="n"/>
      <c r="M88" s="51" t="str">
        <f>IF(A88="","",E88*H88+D88*F88/60*G88+D88*I88*J88+D88*K88+D88*L88)</f>
        <v/>
      </c>
      <c r="N88" s="50">
        <f>IFERROR(M88/D88,0)</f>
        <v>0</v>
      </c>
    </row>
    <row r="89">
      <c r="A89" s="49" t="n"/>
      <c r="B89" s="49" t="n"/>
      <c r="C89" s="49" t="n"/>
      <c r="D89" s="50" t="str">
        <f>IF(A89="","",IFERROR(VLOOKUP(A89,TinhGia!$A$4:$B$53,2,FALSE),0))</f>
        <v/>
      </c>
      <c r="E89" s="49" t="n"/>
      <c r="F89" s="49" t="n"/>
      <c r="G89" s="51" t="str">
        <f>IF(C89="","",IFERROR(VLOOKUP(C89,DonGia!$A$4:$D$203,2,FALSE),0))</f>
        <v/>
      </c>
      <c r="H89" s="51" t="str">
        <f>IF(C89="","",IFERROR(VLOOKUP(C89,DonGia!$A$4:$D$203,3,FALSE),0))</f>
        <v/>
      </c>
      <c r="I89" s="49" t="n"/>
      <c r="J89" s="50" t="str">
        <f>IF(C89="","",IFERROR(VLOOKUP(C89,DonGia!$A$4:$D$203,4,FALSE),0))</f>
        <v/>
      </c>
      <c r="K89" s="49" t="n"/>
      <c r="L89" s="49" t="n"/>
      <c r="M89" s="51" t="str">
        <f>IF(A89="","",E89*H89+D89*F89/60*G89+D89*I89*J89+D89*K89+D89*L89)</f>
        <v/>
      </c>
      <c r="N89" s="50">
        <f>IFERROR(M89/D89,0)</f>
        <v>0</v>
      </c>
    </row>
    <row r="90">
      <c r="A90" s="49" t="n"/>
      <c r="B90" s="49" t="n"/>
      <c r="C90" s="49" t="n"/>
      <c r="D90" s="50" t="str">
        <f>IF(A90="","",IFERROR(VLOOKUP(A90,TinhGia!$A$4:$B$53,2,FALSE),0))</f>
        <v/>
      </c>
      <c r="E90" s="49" t="n"/>
      <c r="F90" s="49" t="n"/>
      <c r="G90" s="51" t="str">
        <f>IF(C90="","",IFERROR(VLOOKUP(C90,DonGia!$A$4:$D$203,2,FALSE),0))</f>
        <v/>
      </c>
      <c r="H90" s="51" t="str">
        <f>IF(C90="","",IFERROR(VLOOKUP(C90,DonGia!$A$4:$D$203,3,FALSE),0))</f>
        <v/>
      </c>
      <c r="I90" s="49" t="n"/>
      <c r="J90" s="50" t="str">
        <f>IF(C90="","",IFERROR(VLOOKUP(C90,DonGia!$A$4:$D$203,4,FALSE),0))</f>
        <v/>
      </c>
      <c r="K90" s="49" t="n"/>
      <c r="L90" s="49" t="n"/>
      <c r="M90" s="51" t="str">
        <f>IF(A90="","",E90*H90+D90*F90/60*G90+D90*I90*J90+D90*K90+D90*L90)</f>
        <v/>
      </c>
      <c r="N90" s="50">
        <f>IFERROR(M90/D90,0)</f>
        <v>0</v>
      </c>
    </row>
    <row r="91">
      <c r="A91" s="49" t="n"/>
      <c r="B91" s="49" t="n"/>
      <c r="C91" s="49" t="n"/>
      <c r="D91" s="50" t="str">
        <f>IF(A91="","",IFERROR(VLOOKUP(A91,TinhGia!$A$4:$B$53,2,FALSE),0))</f>
        <v/>
      </c>
      <c r="E91" s="49" t="n"/>
      <c r="F91" s="49" t="n"/>
      <c r="G91" s="51" t="str">
        <f>IF(C91="","",IFERROR(VLOOKUP(C91,DonGia!$A$4:$D$203,2,FALSE),0))</f>
        <v/>
      </c>
      <c r="H91" s="51" t="str">
        <f>IF(C91="","",IFERROR(VLOOKUP(C91,DonGia!$A$4:$D$203,3,FALSE),0))</f>
        <v/>
      </c>
      <c r="I91" s="49" t="n"/>
      <c r="J91" s="50" t="str">
        <f>IF(C91="","",IFERROR(VLOOKUP(C91,DonGia!$A$4:$D$203,4,FALSE),0))</f>
        <v/>
      </c>
      <c r="K91" s="49" t="n"/>
      <c r="L91" s="49" t="n"/>
      <c r="M91" s="51" t="str">
        <f>IF(A91="","",E91*H91+D91*F91/60*G91+D91*I91*J91+D91*K91+D91*L91)</f>
        <v/>
      </c>
      <c r="N91" s="50">
        <f>IFERROR(M91/D91,0)</f>
        <v>0</v>
      </c>
    </row>
    <row r="92">
      <c r="A92" s="49" t="n"/>
      <c r="B92" s="49" t="n"/>
      <c r="C92" s="49" t="n"/>
      <c r="D92" s="50" t="str">
        <f>IF(A92="","",IFERROR(VLOOKUP(A92,TinhGia!$A$4:$B$53,2,FALSE),0))</f>
        <v/>
      </c>
      <c r="E92" s="49" t="n"/>
      <c r="F92" s="49" t="n"/>
      <c r="G92" s="51" t="str">
        <f>IF(C92="","",IFERROR(VLOOKUP(C92,DonGia!$A$4:$D$203,2,FALSE),0))</f>
        <v/>
      </c>
      <c r="H92" s="51" t="str">
        <f>IF(C92="","",IFERROR(VLOOKUP(C92,DonGia!$A$4:$D$203,3,FALSE),0))</f>
        <v/>
      </c>
      <c r="I92" s="49" t="n"/>
      <c r="J92" s="50" t="str">
        <f>IF(C92="","",IFERROR(VLOOKUP(C92,DonGia!$A$4:$D$203,4,FALSE),0))</f>
        <v/>
      </c>
      <c r="K92" s="49" t="n"/>
      <c r="L92" s="49" t="n"/>
      <c r="M92" s="51" t="str">
        <f>IF(A92="","",E92*H92+D92*F92/60*G92+D92*I92*J92+D92*K92+D92*L92)</f>
        <v/>
      </c>
      <c r="N92" s="50">
        <f>IFERROR(M92/D92,0)</f>
        <v>0</v>
      </c>
    </row>
    <row r="93">
      <c r="A93" s="49" t="n"/>
      <c r="B93" s="49" t="n"/>
      <c r="C93" s="49" t="n"/>
      <c r="D93" s="50" t="str">
        <f>IF(A93="","",IFERROR(VLOOKUP(A93,TinhGia!$A$4:$B$53,2,FALSE),0))</f>
        <v/>
      </c>
      <c r="E93" s="49" t="n"/>
      <c r="F93" s="49" t="n"/>
      <c r="G93" s="51" t="str">
        <f>IF(C93="","",IFERROR(VLOOKUP(C93,DonGia!$A$4:$D$203,2,FALSE),0))</f>
        <v/>
      </c>
      <c r="H93" s="51" t="str">
        <f>IF(C93="","",IFERROR(VLOOKUP(C93,DonGia!$A$4:$D$203,3,FALSE),0))</f>
        <v/>
      </c>
      <c r="I93" s="49" t="n"/>
      <c r="J93" s="50" t="str">
        <f>IF(C93="","",IFERROR(VLOOKUP(C93,DonGia!$A$4:$D$203,4,FALSE),0))</f>
        <v/>
      </c>
      <c r="K93" s="49" t="n"/>
      <c r="L93" s="49" t="n"/>
      <c r="M93" s="51" t="str">
        <f>IF(A93="","",E93*H93+D93*F93/60*G93+D93*I93*J93+D93*K93+D93*L93)</f>
        <v/>
      </c>
      <c r="N93" s="50">
        <f>IFERROR(M93/D93,0)</f>
        <v>0</v>
      </c>
    </row>
    <row r="94">
      <c r="A94" s="49" t="n"/>
      <c r="B94" s="49" t="n"/>
      <c r="C94" s="49" t="n"/>
      <c r="D94" s="50" t="str">
        <f>IF(A94="","",IFERROR(VLOOKUP(A94,TinhGia!$A$4:$B$53,2,FALSE),0))</f>
        <v/>
      </c>
      <c r="E94" s="49" t="n"/>
      <c r="F94" s="49" t="n"/>
      <c r="G94" s="51" t="str">
        <f>IF(C94="","",IFERROR(VLOOKUP(C94,DonGia!$A$4:$D$203,2,FALSE),0))</f>
        <v/>
      </c>
      <c r="H94" s="51" t="str">
        <f>IF(C94="","",IFERROR(VLOOKUP(C94,DonGia!$A$4:$D$203,3,FALSE),0))</f>
        <v/>
      </c>
      <c r="I94" s="49" t="n"/>
      <c r="J94" s="50" t="str">
        <f>IF(C94="","",IFERROR(VLOOKUP(C94,DonGia!$A$4:$D$203,4,FALSE),0))</f>
        <v/>
      </c>
      <c r="K94" s="49" t="n"/>
      <c r="L94" s="49" t="n"/>
      <c r="M94" s="51" t="str">
        <f>IF(A94="","",E94*H94+D94*F94/60*G94+D94*I94*J94+D94*K94+D94*L94)</f>
        <v/>
      </c>
      <c r="N94" s="50">
        <f>IFERROR(M94/D94,0)</f>
        <v>0</v>
      </c>
    </row>
    <row r="95">
      <c r="A95" s="49" t="n"/>
      <c r="B95" s="49" t="n"/>
      <c r="C95" s="49" t="n"/>
      <c r="D95" s="50" t="str">
        <f>IF(A95="","",IFERROR(VLOOKUP(A95,TinhGia!$A$4:$B$53,2,FALSE),0))</f>
        <v/>
      </c>
      <c r="E95" s="49" t="n"/>
      <c r="F95" s="49" t="n"/>
      <c r="G95" s="51" t="str">
        <f>IF(C95="","",IFERROR(VLOOKUP(C95,DonGia!$A$4:$D$203,2,FALSE),0))</f>
        <v/>
      </c>
      <c r="H95" s="51" t="str">
        <f>IF(C95="","",IFERROR(VLOOKUP(C95,DonGia!$A$4:$D$203,3,FALSE),0))</f>
        <v/>
      </c>
      <c r="I95" s="49" t="n"/>
      <c r="J95" s="50" t="str">
        <f>IF(C95="","",IFERROR(VLOOKUP(C95,DonGia!$A$4:$D$203,4,FALSE),0))</f>
        <v/>
      </c>
      <c r="K95" s="49" t="n"/>
      <c r="L95" s="49" t="n"/>
      <c r="M95" s="51" t="str">
        <f>IF(A95="","",E95*H95+D95*F95/60*G95+D95*I95*J95+D95*K95+D95*L95)</f>
        <v/>
      </c>
      <c r="N95" s="50">
        <f>IFERROR(M95/D95,0)</f>
        <v>0</v>
      </c>
    </row>
    <row r="96">
      <c r="A96" s="49" t="n"/>
      <c r="B96" s="49" t="n"/>
      <c r="C96" s="49" t="n"/>
      <c r="D96" s="50" t="str">
        <f>IF(A96="","",IFERROR(VLOOKUP(A96,TinhGia!$A$4:$B$53,2,FALSE),0))</f>
        <v/>
      </c>
      <c r="E96" s="49" t="n"/>
      <c r="F96" s="49" t="n"/>
      <c r="G96" s="51" t="str">
        <f>IF(C96="","",IFERROR(VLOOKUP(C96,DonGia!$A$4:$D$203,2,FALSE),0))</f>
        <v/>
      </c>
      <c r="H96" s="51" t="str">
        <f>IF(C96="","",IFERROR(VLOOKUP(C96,DonGia!$A$4:$D$203,3,FALSE),0))</f>
        <v/>
      </c>
      <c r="I96" s="49" t="n"/>
      <c r="J96" s="50" t="str">
        <f>IF(C96="","",IFERROR(VLOOKUP(C96,DonGia!$A$4:$D$203,4,FALSE),0))</f>
        <v/>
      </c>
      <c r="K96" s="49" t="n"/>
      <c r="L96" s="49" t="n"/>
      <c r="M96" s="51" t="str">
        <f>IF(A96="","",E96*H96+D96*F96/60*G96+D96*I96*J96+D96*K96+D96*L96)</f>
        <v/>
      </c>
      <c r="N96" s="50">
        <f>IFERROR(M96/D96,0)</f>
        <v>0</v>
      </c>
    </row>
    <row r="97">
      <c r="A97" s="49" t="n"/>
      <c r="B97" s="49" t="n"/>
      <c r="C97" s="49" t="n"/>
      <c r="D97" s="50" t="str">
        <f>IF(A97="","",IFERROR(VLOOKUP(A97,TinhGia!$A$4:$B$53,2,FALSE),0))</f>
        <v/>
      </c>
      <c r="E97" s="49" t="n"/>
      <c r="F97" s="49" t="n"/>
      <c r="G97" s="51" t="str">
        <f>IF(C97="","",IFERROR(VLOOKUP(C97,DonGia!$A$4:$D$203,2,FALSE),0))</f>
        <v/>
      </c>
      <c r="H97" s="51" t="str">
        <f>IF(C97="","",IFERROR(VLOOKUP(C97,DonGia!$A$4:$D$203,3,FALSE),0))</f>
        <v/>
      </c>
      <c r="I97" s="49" t="n"/>
      <c r="J97" s="50" t="str">
        <f>IF(C97="","",IFERROR(VLOOKUP(C97,DonGia!$A$4:$D$203,4,FALSE),0))</f>
        <v/>
      </c>
      <c r="K97" s="49" t="n"/>
      <c r="L97" s="49" t="n"/>
      <c r="M97" s="51" t="str">
        <f>IF(A97="","",E97*H97+D97*F97/60*G97+D97*I97*J97+D97*K97+D97*L97)</f>
        <v/>
      </c>
      <c r="N97" s="50">
        <f>IFERROR(M97/D97,0)</f>
        <v>0</v>
      </c>
    </row>
    <row r="98">
      <c r="A98" s="49" t="n"/>
      <c r="B98" s="49" t="n"/>
      <c r="C98" s="49" t="n"/>
      <c r="D98" s="50" t="str">
        <f>IF(A98="","",IFERROR(VLOOKUP(A98,TinhGia!$A$4:$B$53,2,FALSE),0))</f>
        <v/>
      </c>
      <c r="E98" s="49" t="n"/>
      <c r="F98" s="49" t="n"/>
      <c r="G98" s="51" t="str">
        <f>IF(C98="","",IFERROR(VLOOKUP(C98,DonGia!$A$4:$D$203,2,FALSE),0))</f>
        <v/>
      </c>
      <c r="H98" s="51" t="str">
        <f>IF(C98="","",IFERROR(VLOOKUP(C98,DonGia!$A$4:$D$203,3,FALSE),0))</f>
        <v/>
      </c>
      <c r="I98" s="49" t="n"/>
      <c r="J98" s="50" t="str">
        <f>IF(C98="","",IFERROR(VLOOKUP(C98,DonGia!$A$4:$D$203,4,FALSE),0))</f>
        <v/>
      </c>
      <c r="K98" s="49" t="n"/>
      <c r="L98" s="49" t="n"/>
      <c r="M98" s="51" t="str">
        <f>IF(A98="","",E98*H98+D98*F98/60*G98+D98*I98*J98+D98*K98+D98*L98)</f>
        <v/>
      </c>
      <c r="N98" s="50">
        <f>IFERROR(M98/D98,0)</f>
        <v>0</v>
      </c>
    </row>
    <row r="99">
      <c r="A99" s="49" t="n"/>
      <c r="B99" s="49" t="n"/>
      <c r="C99" s="49" t="n"/>
      <c r="D99" s="50" t="str">
        <f>IF(A99="","",IFERROR(VLOOKUP(A99,TinhGia!$A$4:$B$53,2,FALSE),0))</f>
        <v/>
      </c>
      <c r="E99" s="49" t="n"/>
      <c r="F99" s="49" t="n"/>
      <c r="G99" s="51" t="str">
        <f>IF(C99="","",IFERROR(VLOOKUP(C99,DonGia!$A$4:$D$203,2,FALSE),0))</f>
        <v/>
      </c>
      <c r="H99" s="51" t="str">
        <f>IF(C99="","",IFERROR(VLOOKUP(C99,DonGia!$A$4:$D$203,3,FALSE),0))</f>
        <v/>
      </c>
      <c r="I99" s="49" t="n"/>
      <c r="J99" s="50" t="str">
        <f>IF(C99="","",IFERROR(VLOOKUP(C99,DonGia!$A$4:$D$203,4,FALSE),0))</f>
        <v/>
      </c>
      <c r="K99" s="49" t="n"/>
      <c r="L99" s="49" t="n"/>
      <c r="M99" s="51" t="str">
        <f>IF(A99="","",E99*H99+D99*F99/60*G99+D99*I99*J99+D99*K99+D99*L99)</f>
        <v/>
      </c>
      <c r="N99" s="50">
        <f>IFERROR(M99/D99,0)</f>
        <v>0</v>
      </c>
    </row>
    <row r="100">
      <c r="A100" s="49" t="n"/>
      <c r="B100" s="49" t="n"/>
      <c r="C100" s="49" t="n"/>
      <c r="D100" s="50" t="str">
        <f>IF(A100="","",IFERROR(VLOOKUP(A100,TinhGia!$A$4:$B$53,2,FALSE),0))</f>
        <v/>
      </c>
      <c r="E100" s="49" t="n"/>
      <c r="F100" s="49" t="n"/>
      <c r="G100" s="51" t="str">
        <f>IF(C100="","",IFERROR(VLOOKUP(C100,DonGia!$A$4:$D$203,2,FALSE),0))</f>
        <v/>
      </c>
      <c r="H100" s="51" t="str">
        <f>IF(C100="","",IFERROR(VLOOKUP(C100,DonGia!$A$4:$D$203,3,FALSE),0))</f>
        <v/>
      </c>
      <c r="I100" s="49" t="n"/>
      <c r="J100" s="50" t="str">
        <f>IF(C100="","",IFERROR(VLOOKUP(C100,DonGia!$A$4:$D$203,4,FALSE),0))</f>
        <v/>
      </c>
      <c r="K100" s="49" t="n"/>
      <c r="L100" s="49" t="n"/>
      <c r="M100" s="51" t="str">
        <f>IF(A100="","",E100*H100+D100*F100/60*G100+D100*I100*J100+D100*K100+D100*L100)</f>
        <v/>
      </c>
      <c r="N100" s="50">
        <f>IFERROR(M100/D100,0)</f>
        <v>0</v>
      </c>
    </row>
    <row r="101">
      <c r="A101" s="49" t="n"/>
      <c r="B101" s="49" t="n"/>
      <c r="C101" s="49" t="n"/>
      <c r="D101" s="50" t="str">
        <f>IF(A101="","",IFERROR(VLOOKUP(A101,TinhGia!$A$4:$B$53,2,FALSE),0))</f>
        <v/>
      </c>
      <c r="E101" s="49" t="n"/>
      <c r="F101" s="49" t="n"/>
      <c r="G101" s="51" t="str">
        <f>IF(C101="","",IFERROR(VLOOKUP(C101,DonGia!$A$4:$D$203,2,FALSE),0))</f>
        <v/>
      </c>
      <c r="H101" s="51" t="str">
        <f>IF(C101="","",IFERROR(VLOOKUP(C101,DonGia!$A$4:$D$203,3,FALSE),0))</f>
        <v/>
      </c>
      <c r="I101" s="49" t="n"/>
      <c r="J101" s="50" t="str">
        <f>IF(C101="","",IFERROR(VLOOKUP(C101,DonGia!$A$4:$D$203,4,FALSE),0))</f>
        <v/>
      </c>
      <c r="K101" s="49" t="n"/>
      <c r="L101" s="49" t="n"/>
      <c r="M101" s="51" t="str">
        <f>IF(A101="","",E101*H101+D101*F101/60*G101+D101*I101*J101+D101*K101+D101*L101)</f>
        <v/>
      </c>
      <c r="N101" s="50">
        <f>IFERROR(M101/D101,0)</f>
        <v>0</v>
      </c>
    </row>
    <row r="102">
      <c r="A102" s="49" t="n"/>
      <c r="B102" s="49" t="n"/>
      <c r="C102" s="49" t="n"/>
      <c r="D102" s="50" t="str">
        <f>IF(A102="","",IFERROR(VLOOKUP(A102,TinhGia!$A$4:$B$53,2,FALSE),0))</f>
        <v/>
      </c>
      <c r="E102" s="49" t="n"/>
      <c r="F102" s="49" t="n"/>
      <c r="G102" s="51" t="str">
        <f>IF(C102="","",IFERROR(VLOOKUP(C102,DonGia!$A$4:$D$203,2,FALSE),0))</f>
        <v/>
      </c>
      <c r="H102" s="51" t="str">
        <f>IF(C102="","",IFERROR(VLOOKUP(C102,DonGia!$A$4:$D$203,3,FALSE),0))</f>
        <v/>
      </c>
      <c r="I102" s="49" t="n"/>
      <c r="J102" s="50" t="str">
        <f>IF(C102="","",IFERROR(VLOOKUP(C102,DonGia!$A$4:$D$203,4,FALSE),0))</f>
        <v/>
      </c>
      <c r="K102" s="49" t="n"/>
      <c r="L102" s="49" t="n"/>
      <c r="M102" s="51" t="str">
        <f>IF(A102="","",E102*H102+D102*F102/60*G102+D102*I102*J102+D102*K102+D102*L102)</f>
        <v/>
      </c>
      <c r="N102" s="50">
        <f>IFERROR(M102/D102,0)</f>
        <v>0</v>
      </c>
    </row>
    <row r="103">
      <c r="A103" s="49" t="n"/>
      <c r="B103" s="49" t="n"/>
      <c r="C103" s="49" t="n"/>
      <c r="D103" s="50" t="str">
        <f>IF(A103="","",IFERROR(VLOOKUP(A103,TinhGia!$A$4:$B$53,2,FALSE),0))</f>
        <v/>
      </c>
      <c r="E103" s="49" t="n"/>
      <c r="F103" s="49" t="n"/>
      <c r="G103" s="51" t="str">
        <f>IF(C103="","",IFERROR(VLOOKUP(C103,DonGia!$A$4:$D$203,2,FALSE),0))</f>
        <v/>
      </c>
      <c r="H103" s="51" t="str">
        <f>IF(C103="","",IFERROR(VLOOKUP(C103,DonGia!$A$4:$D$203,3,FALSE),0))</f>
        <v/>
      </c>
      <c r="I103" s="49" t="n"/>
      <c r="J103" s="50" t="str">
        <f>IF(C103="","",IFERROR(VLOOKUP(C103,DonGia!$A$4:$D$203,4,FALSE),0))</f>
        <v/>
      </c>
      <c r="K103" s="49" t="n"/>
      <c r="L103" s="49" t="n"/>
      <c r="M103" s="51" t="str">
        <f>IF(A103="","",E103*H103+D103*F103/60*G103+D103*I103*J103+D103*K103+D103*L103)</f>
        <v/>
      </c>
      <c r="N103" s="50">
        <f>IFERROR(M103/D103,0)</f>
        <v>0</v>
      </c>
    </row>
    <row r="104">
      <c r="A104" s="49" t="n"/>
      <c r="B104" s="49" t="n"/>
      <c r="C104" s="49" t="n"/>
      <c r="D104" s="50" t="str">
        <f>IF(A104="","",IFERROR(VLOOKUP(A104,TinhGia!$A$4:$B$53,2,FALSE),0))</f>
        <v/>
      </c>
      <c r="E104" s="49" t="n"/>
      <c r="F104" s="49" t="n"/>
      <c r="G104" s="51" t="str">
        <f>IF(C104="","",IFERROR(VLOOKUP(C104,DonGia!$A$4:$D$203,2,FALSE),0))</f>
        <v/>
      </c>
      <c r="H104" s="51" t="str">
        <f>IF(C104="","",IFERROR(VLOOKUP(C104,DonGia!$A$4:$D$203,3,FALSE),0))</f>
        <v/>
      </c>
      <c r="I104" s="49" t="n"/>
      <c r="J104" s="50" t="str">
        <f>IF(C104="","",IFERROR(VLOOKUP(C104,DonGia!$A$4:$D$203,4,FALSE),0))</f>
        <v/>
      </c>
      <c r="K104" s="49" t="n"/>
      <c r="L104" s="49" t="n"/>
      <c r="M104" s="51" t="str">
        <f>IF(A104="","",E104*H104+D104*F104/60*G104+D104*I104*J104+D104*K104+D104*L104)</f>
        <v/>
      </c>
      <c r="N104" s="50">
        <f>IFERROR(M104/D104,0)</f>
        <v>0</v>
      </c>
    </row>
    <row r="105">
      <c r="A105" s="49" t="n"/>
      <c r="B105" s="49" t="n"/>
      <c r="C105" s="49" t="n"/>
      <c r="D105" s="50" t="str">
        <f>IF(A105="","",IFERROR(VLOOKUP(A105,TinhGia!$A$4:$B$53,2,FALSE),0))</f>
        <v/>
      </c>
      <c r="E105" s="49" t="n"/>
      <c r="F105" s="49" t="n"/>
      <c r="G105" s="51" t="str">
        <f>IF(C105="","",IFERROR(VLOOKUP(C105,DonGia!$A$4:$D$203,2,FALSE),0))</f>
        <v/>
      </c>
      <c r="H105" s="51" t="str">
        <f>IF(C105="","",IFERROR(VLOOKUP(C105,DonGia!$A$4:$D$203,3,FALSE),0))</f>
        <v/>
      </c>
      <c r="I105" s="49" t="n"/>
      <c r="J105" s="50" t="str">
        <f>IF(C105="","",IFERROR(VLOOKUP(C105,DonGia!$A$4:$D$203,4,FALSE),0))</f>
        <v/>
      </c>
      <c r="K105" s="49" t="n"/>
      <c r="L105" s="49" t="n"/>
      <c r="M105" s="51" t="str">
        <f>IF(A105="","",E105*H105+D105*F105/60*G105+D105*I105*J105+D105*K105+D105*L105)</f>
        <v/>
      </c>
      <c r="N105" s="50">
        <f>IFERROR(M105/D105,0)</f>
        <v>0</v>
      </c>
    </row>
    <row r="106">
      <c r="A106" s="49" t="n"/>
      <c r="B106" s="49" t="n"/>
      <c r="C106" s="49" t="n"/>
      <c r="D106" s="50" t="str">
        <f>IF(A106="","",IFERROR(VLOOKUP(A106,TinhGia!$A$4:$B$53,2,FALSE),0))</f>
        <v/>
      </c>
      <c r="E106" s="49" t="n"/>
      <c r="F106" s="49" t="n"/>
      <c r="G106" s="51" t="str">
        <f>IF(C106="","",IFERROR(VLOOKUP(C106,DonGia!$A$4:$D$203,2,FALSE),0))</f>
        <v/>
      </c>
      <c r="H106" s="51" t="str">
        <f>IF(C106="","",IFERROR(VLOOKUP(C106,DonGia!$A$4:$D$203,3,FALSE),0))</f>
        <v/>
      </c>
      <c r="I106" s="49" t="n"/>
      <c r="J106" s="50" t="str">
        <f>IF(C106="","",IFERROR(VLOOKUP(C106,DonGia!$A$4:$D$203,4,FALSE),0))</f>
        <v/>
      </c>
      <c r="K106" s="49" t="n"/>
      <c r="L106" s="49" t="n"/>
      <c r="M106" s="51" t="str">
        <f>IF(A106="","",E106*H106+D106*F106/60*G106+D106*I106*J106+D106*K106+D106*L106)</f>
        <v/>
      </c>
      <c r="N106" s="50">
        <f>IFERROR(M106/D106,0)</f>
        <v>0</v>
      </c>
    </row>
    <row r="107">
      <c r="A107" s="49" t="n"/>
      <c r="B107" s="49" t="n"/>
      <c r="C107" s="49" t="n"/>
      <c r="D107" s="50" t="str">
        <f>IF(A107="","",IFERROR(VLOOKUP(A107,TinhGia!$A$4:$B$53,2,FALSE),0))</f>
        <v/>
      </c>
      <c r="E107" s="49" t="n"/>
      <c r="F107" s="49" t="n"/>
      <c r="G107" s="51" t="str">
        <f>IF(C107="","",IFERROR(VLOOKUP(C107,DonGia!$A$4:$D$203,2,FALSE),0))</f>
        <v/>
      </c>
      <c r="H107" s="51" t="str">
        <f>IF(C107="","",IFERROR(VLOOKUP(C107,DonGia!$A$4:$D$203,3,FALSE),0))</f>
        <v/>
      </c>
      <c r="I107" s="49" t="n"/>
      <c r="J107" s="50" t="str">
        <f>IF(C107="","",IFERROR(VLOOKUP(C107,DonGia!$A$4:$D$203,4,FALSE),0))</f>
        <v/>
      </c>
      <c r="K107" s="49" t="n"/>
      <c r="L107" s="49" t="n"/>
      <c r="M107" s="51" t="str">
        <f>IF(A107="","",E107*H107+D107*F107/60*G107+D107*I107*J107+D107*K107+D107*L107)</f>
        <v/>
      </c>
      <c r="N107" s="50">
        <f>IFERROR(M107/D107,0)</f>
        <v>0</v>
      </c>
    </row>
    <row r="108">
      <c r="A108" s="49" t="n"/>
      <c r="B108" s="49" t="n"/>
      <c r="C108" s="49" t="n"/>
      <c r="D108" s="50" t="str">
        <f>IF(A108="","",IFERROR(VLOOKUP(A108,TinhGia!$A$4:$B$53,2,FALSE),0))</f>
        <v/>
      </c>
      <c r="E108" s="49" t="n"/>
      <c r="F108" s="49" t="n"/>
      <c r="G108" s="51" t="str">
        <f>IF(C108="","",IFERROR(VLOOKUP(C108,DonGia!$A$4:$D$203,2,FALSE),0))</f>
        <v/>
      </c>
      <c r="H108" s="51" t="str">
        <f>IF(C108="","",IFERROR(VLOOKUP(C108,DonGia!$A$4:$D$203,3,FALSE),0))</f>
        <v/>
      </c>
      <c r="I108" s="49" t="n"/>
      <c r="J108" s="50" t="str">
        <f>IF(C108="","",IFERROR(VLOOKUP(C108,DonGia!$A$4:$D$203,4,FALSE),0))</f>
        <v/>
      </c>
      <c r="K108" s="49" t="n"/>
      <c r="L108" s="49" t="n"/>
      <c r="M108" s="51" t="str">
        <f>IF(A108="","",E108*H108+D108*F108/60*G108+D108*I108*J108+D108*K108+D108*L108)</f>
        <v/>
      </c>
      <c r="N108" s="50">
        <f>IFERROR(M108/D108,0)</f>
        <v>0</v>
      </c>
    </row>
    <row r="109">
      <c r="A109" s="49" t="n"/>
      <c r="B109" s="49" t="n"/>
      <c r="C109" s="49" t="n"/>
      <c r="D109" s="50" t="str">
        <f>IF(A109="","",IFERROR(VLOOKUP(A109,TinhGia!$A$4:$B$53,2,FALSE),0))</f>
        <v/>
      </c>
      <c r="E109" s="49" t="n"/>
      <c r="F109" s="49" t="n"/>
      <c r="G109" s="51" t="str">
        <f>IF(C109="","",IFERROR(VLOOKUP(C109,DonGia!$A$4:$D$203,2,FALSE),0))</f>
        <v/>
      </c>
      <c r="H109" s="51" t="str">
        <f>IF(C109="","",IFERROR(VLOOKUP(C109,DonGia!$A$4:$D$203,3,FALSE),0))</f>
        <v/>
      </c>
      <c r="I109" s="49" t="n"/>
      <c r="J109" s="50" t="str">
        <f>IF(C109="","",IFERROR(VLOOKUP(C109,DonGia!$A$4:$D$203,4,FALSE),0))</f>
        <v/>
      </c>
      <c r="K109" s="49" t="n"/>
      <c r="L109" s="49" t="n"/>
      <c r="M109" s="51" t="str">
        <f>IF(A109="","",E109*H109+D109*F109/60*G109+D109*I109*J109+D109*K109+D109*L109)</f>
        <v/>
      </c>
      <c r="N109" s="50">
        <f>IFERROR(M109/D109,0)</f>
        <v>0</v>
      </c>
    </row>
    <row r="110">
      <c r="A110" s="49" t="n"/>
      <c r="B110" s="49" t="n"/>
      <c r="C110" s="49" t="n"/>
      <c r="D110" s="50" t="str">
        <f>IF(A110="","",IFERROR(VLOOKUP(A110,TinhGia!$A$4:$B$53,2,FALSE),0))</f>
        <v/>
      </c>
      <c r="E110" s="49" t="n"/>
      <c r="F110" s="49" t="n"/>
      <c r="G110" s="51" t="str">
        <f>IF(C110="","",IFERROR(VLOOKUP(C110,DonGia!$A$4:$D$203,2,FALSE),0))</f>
        <v/>
      </c>
      <c r="H110" s="51" t="str">
        <f>IF(C110="","",IFERROR(VLOOKUP(C110,DonGia!$A$4:$D$203,3,FALSE),0))</f>
        <v/>
      </c>
      <c r="I110" s="49" t="n"/>
      <c r="J110" s="50" t="str">
        <f>IF(C110="","",IFERROR(VLOOKUP(C110,DonGia!$A$4:$D$203,4,FALSE),0))</f>
        <v/>
      </c>
      <c r="K110" s="49" t="n"/>
      <c r="L110" s="49" t="n"/>
      <c r="M110" s="51" t="str">
        <f>IF(A110="","",E110*H110+D110*F110/60*G110+D110*I110*J110+D110*K110+D110*L110)</f>
        <v/>
      </c>
      <c r="N110" s="50">
        <f>IFERROR(M110/D110,0)</f>
        <v>0</v>
      </c>
    </row>
    <row r="111">
      <c r="A111" s="49" t="n"/>
      <c r="B111" s="49" t="n"/>
      <c r="C111" s="49" t="n"/>
      <c r="D111" s="50" t="str">
        <f>IF(A111="","",IFERROR(VLOOKUP(A111,TinhGia!$A$4:$B$53,2,FALSE),0))</f>
        <v/>
      </c>
      <c r="E111" s="49" t="n"/>
      <c r="F111" s="49" t="n"/>
      <c r="G111" s="51" t="str">
        <f>IF(C111="","",IFERROR(VLOOKUP(C111,DonGia!$A$4:$D$203,2,FALSE),0))</f>
        <v/>
      </c>
      <c r="H111" s="51" t="str">
        <f>IF(C111="","",IFERROR(VLOOKUP(C111,DonGia!$A$4:$D$203,3,FALSE),0))</f>
        <v/>
      </c>
      <c r="I111" s="49" t="n"/>
      <c r="J111" s="50" t="str">
        <f>IF(C111="","",IFERROR(VLOOKUP(C111,DonGia!$A$4:$D$203,4,FALSE),0))</f>
        <v/>
      </c>
      <c r="K111" s="49" t="n"/>
      <c r="L111" s="49" t="n"/>
      <c r="M111" s="51" t="str">
        <f>IF(A111="","",E111*H111+D111*F111/60*G111+D111*I111*J111+D111*K111+D111*L111)</f>
        <v/>
      </c>
      <c r="N111" s="50">
        <f>IFERROR(M111/D111,0)</f>
        <v>0</v>
      </c>
    </row>
    <row r="112">
      <c r="A112" s="49" t="n"/>
      <c r="B112" s="49" t="n"/>
      <c r="C112" s="49" t="n"/>
      <c r="D112" s="50" t="str">
        <f>IF(A112="","",IFERROR(VLOOKUP(A112,TinhGia!$A$4:$B$53,2,FALSE),0))</f>
        <v/>
      </c>
      <c r="E112" s="49" t="n"/>
      <c r="F112" s="49" t="n"/>
      <c r="G112" s="51" t="str">
        <f>IF(C112="","",IFERROR(VLOOKUP(C112,DonGia!$A$4:$D$203,2,FALSE),0))</f>
        <v/>
      </c>
      <c r="H112" s="51" t="str">
        <f>IF(C112="","",IFERROR(VLOOKUP(C112,DonGia!$A$4:$D$203,3,FALSE),0))</f>
        <v/>
      </c>
      <c r="I112" s="49" t="n"/>
      <c r="J112" s="50" t="str">
        <f>IF(C112="","",IFERROR(VLOOKUP(C112,DonGia!$A$4:$D$203,4,FALSE),0))</f>
        <v/>
      </c>
      <c r="K112" s="49" t="n"/>
      <c r="L112" s="49" t="n"/>
      <c r="M112" s="51" t="str">
        <f>IF(A112="","",E112*H112+D112*F112/60*G112+D112*I112*J112+D112*K112+D112*L112)</f>
        <v/>
      </c>
      <c r="N112" s="50">
        <f>IFERROR(M112/D112,0)</f>
        <v>0</v>
      </c>
    </row>
    <row r="113">
      <c r="A113" s="49" t="n"/>
      <c r="B113" s="49" t="n"/>
      <c r="C113" s="49" t="n"/>
      <c r="D113" s="50" t="str">
        <f>IF(A113="","",IFERROR(VLOOKUP(A113,TinhGia!$A$4:$B$53,2,FALSE),0))</f>
        <v/>
      </c>
      <c r="E113" s="49" t="n"/>
      <c r="F113" s="49" t="n"/>
      <c r="G113" s="51" t="str">
        <f>IF(C113="","",IFERROR(VLOOKUP(C113,DonGia!$A$4:$D$203,2,FALSE),0))</f>
        <v/>
      </c>
      <c r="H113" s="51" t="str">
        <f>IF(C113="","",IFERROR(VLOOKUP(C113,DonGia!$A$4:$D$203,3,FALSE),0))</f>
        <v/>
      </c>
      <c r="I113" s="49" t="n"/>
      <c r="J113" s="50" t="str">
        <f>IF(C113="","",IFERROR(VLOOKUP(C113,DonGia!$A$4:$D$203,4,FALSE),0))</f>
        <v/>
      </c>
      <c r="K113" s="49" t="n"/>
      <c r="L113" s="49" t="n"/>
      <c r="M113" s="51" t="str">
        <f>IF(A113="","",E113*H113+D113*F113/60*G113+D113*I113*J113+D113*K113+D113*L113)</f>
        <v/>
      </c>
      <c r="N113" s="50">
        <f>IFERROR(M113/D113,0)</f>
        <v>0</v>
      </c>
    </row>
    <row r="114">
      <c r="A114" s="49" t="n"/>
      <c r="B114" s="49" t="n"/>
      <c r="C114" s="49" t="n"/>
      <c r="D114" s="50" t="str">
        <f>IF(A114="","",IFERROR(VLOOKUP(A114,TinhGia!$A$4:$B$53,2,FALSE),0))</f>
        <v/>
      </c>
      <c r="E114" s="49" t="n"/>
      <c r="F114" s="49" t="n"/>
      <c r="G114" s="51" t="str">
        <f>IF(C114="","",IFERROR(VLOOKUP(C114,DonGia!$A$4:$D$203,2,FALSE),0))</f>
        <v/>
      </c>
      <c r="H114" s="51" t="str">
        <f>IF(C114="","",IFERROR(VLOOKUP(C114,DonGia!$A$4:$D$203,3,FALSE),0))</f>
        <v/>
      </c>
      <c r="I114" s="49" t="n"/>
      <c r="J114" s="50" t="str">
        <f>IF(C114="","",IFERROR(VLOOKUP(C114,DonGia!$A$4:$D$203,4,FALSE),0))</f>
        <v/>
      </c>
      <c r="K114" s="49" t="n"/>
      <c r="L114" s="49" t="n"/>
      <c r="M114" s="51" t="str">
        <f>IF(A114="","",E114*H114+D114*F114/60*G114+D114*I114*J114+D114*K114+D114*L114)</f>
        <v/>
      </c>
      <c r="N114" s="50">
        <f>IFERROR(M114/D114,0)</f>
        <v>0</v>
      </c>
    </row>
    <row r="115">
      <c r="A115" s="49" t="n"/>
      <c r="B115" s="49" t="n"/>
      <c r="C115" s="49" t="n"/>
      <c r="D115" s="50" t="str">
        <f>IF(A115="","",IFERROR(VLOOKUP(A115,TinhGia!$A$4:$B$53,2,FALSE),0))</f>
        <v/>
      </c>
      <c r="E115" s="49" t="n"/>
      <c r="F115" s="49" t="n"/>
      <c r="G115" s="51" t="str">
        <f>IF(C115="","",IFERROR(VLOOKUP(C115,DonGia!$A$4:$D$203,2,FALSE),0))</f>
        <v/>
      </c>
      <c r="H115" s="51" t="str">
        <f>IF(C115="","",IFERROR(VLOOKUP(C115,DonGia!$A$4:$D$203,3,FALSE),0))</f>
        <v/>
      </c>
      <c r="I115" s="49" t="n"/>
      <c r="J115" s="50" t="str">
        <f>IF(C115="","",IFERROR(VLOOKUP(C115,DonGia!$A$4:$D$203,4,FALSE),0))</f>
        <v/>
      </c>
      <c r="K115" s="49" t="n"/>
      <c r="L115" s="49" t="n"/>
      <c r="M115" s="51" t="str">
        <f>IF(A115="","",E115*H115+D115*F115/60*G115+D115*I115*J115+D115*K115+D115*L115)</f>
        <v/>
      </c>
      <c r="N115" s="50">
        <f>IFERROR(M115/D115,0)</f>
        <v>0</v>
      </c>
    </row>
    <row r="116">
      <c r="A116" s="49" t="n"/>
      <c r="B116" s="49" t="n"/>
      <c r="C116" s="49" t="n"/>
      <c r="D116" s="50" t="str">
        <f>IF(A116="","",IFERROR(VLOOKUP(A116,TinhGia!$A$4:$B$53,2,FALSE),0))</f>
        <v/>
      </c>
      <c r="E116" s="49" t="n"/>
      <c r="F116" s="49" t="n"/>
      <c r="G116" s="51" t="str">
        <f>IF(C116="","",IFERROR(VLOOKUP(C116,DonGia!$A$4:$D$203,2,FALSE),0))</f>
        <v/>
      </c>
      <c r="H116" s="51" t="str">
        <f>IF(C116="","",IFERROR(VLOOKUP(C116,DonGia!$A$4:$D$203,3,FALSE),0))</f>
        <v/>
      </c>
      <c r="I116" s="49" t="n"/>
      <c r="J116" s="50" t="str">
        <f>IF(C116="","",IFERROR(VLOOKUP(C116,DonGia!$A$4:$D$203,4,FALSE),0))</f>
        <v/>
      </c>
      <c r="K116" s="49" t="n"/>
      <c r="L116" s="49" t="n"/>
      <c r="M116" s="51" t="str">
        <f>IF(A116="","",E116*H116+D116*F116/60*G116+D116*I116*J116+D116*K116+D116*L116)</f>
        <v/>
      </c>
      <c r="N116" s="50">
        <f>IFERROR(M116/D116,0)</f>
        <v>0</v>
      </c>
    </row>
    <row r="117">
      <c r="A117" s="49" t="n"/>
      <c r="B117" s="49" t="n"/>
      <c r="C117" s="49" t="n"/>
      <c r="D117" s="50" t="str">
        <f>IF(A117="","",IFERROR(VLOOKUP(A117,TinhGia!$A$4:$B$53,2,FALSE),0))</f>
        <v/>
      </c>
      <c r="E117" s="49" t="n"/>
      <c r="F117" s="49" t="n"/>
      <c r="G117" s="51" t="str">
        <f>IF(C117="","",IFERROR(VLOOKUP(C117,DonGia!$A$4:$D$203,2,FALSE),0))</f>
        <v/>
      </c>
      <c r="H117" s="51" t="str">
        <f>IF(C117="","",IFERROR(VLOOKUP(C117,DonGia!$A$4:$D$203,3,FALSE),0))</f>
        <v/>
      </c>
      <c r="I117" s="49" t="n"/>
      <c r="J117" s="50" t="str">
        <f>IF(C117="","",IFERROR(VLOOKUP(C117,DonGia!$A$4:$D$203,4,FALSE),0))</f>
        <v/>
      </c>
      <c r="K117" s="49" t="n"/>
      <c r="L117" s="49" t="n"/>
      <c r="M117" s="51" t="str">
        <f>IF(A117="","",E117*H117+D117*F117/60*G117+D117*I117*J117+D117*K117+D117*L117)</f>
        <v/>
      </c>
      <c r="N117" s="50">
        <f>IFERROR(M117/D117,0)</f>
        <v>0</v>
      </c>
    </row>
    <row r="118">
      <c r="A118" s="49" t="n"/>
      <c r="B118" s="49" t="n"/>
      <c r="C118" s="49" t="n"/>
      <c r="D118" s="50" t="str">
        <f>IF(A118="","",IFERROR(VLOOKUP(A118,TinhGia!$A$4:$B$53,2,FALSE),0))</f>
        <v/>
      </c>
      <c r="E118" s="49" t="n"/>
      <c r="F118" s="49" t="n"/>
      <c r="G118" s="51" t="str">
        <f>IF(C118="","",IFERROR(VLOOKUP(C118,DonGia!$A$4:$D$203,2,FALSE),0))</f>
        <v/>
      </c>
      <c r="H118" s="51" t="str">
        <f>IF(C118="","",IFERROR(VLOOKUP(C118,DonGia!$A$4:$D$203,3,FALSE),0))</f>
        <v/>
      </c>
      <c r="I118" s="49" t="n"/>
      <c r="J118" s="50" t="str">
        <f>IF(C118="","",IFERROR(VLOOKUP(C118,DonGia!$A$4:$D$203,4,FALSE),0))</f>
        <v/>
      </c>
      <c r="K118" s="49" t="n"/>
      <c r="L118" s="49" t="n"/>
      <c r="M118" s="51" t="str">
        <f>IF(A118="","",E118*H118+D118*F118/60*G118+D118*I118*J118+D118*K118+D118*L118)</f>
        <v/>
      </c>
      <c r="N118" s="50">
        <f>IFERROR(M118/D118,0)</f>
        <v>0</v>
      </c>
    </row>
    <row r="119">
      <c r="A119" s="49" t="n"/>
      <c r="B119" s="49" t="n"/>
      <c r="C119" s="49" t="n"/>
      <c r="D119" s="50" t="str">
        <f>IF(A119="","",IFERROR(VLOOKUP(A119,TinhGia!$A$4:$B$53,2,FALSE),0))</f>
        <v/>
      </c>
      <c r="E119" s="49" t="n"/>
      <c r="F119" s="49" t="n"/>
      <c r="G119" s="51" t="str">
        <f>IF(C119="","",IFERROR(VLOOKUP(C119,DonGia!$A$4:$D$203,2,FALSE),0))</f>
        <v/>
      </c>
      <c r="H119" s="51" t="str">
        <f>IF(C119="","",IFERROR(VLOOKUP(C119,DonGia!$A$4:$D$203,3,FALSE),0))</f>
        <v/>
      </c>
      <c r="I119" s="49" t="n"/>
      <c r="J119" s="50" t="str">
        <f>IF(C119="","",IFERROR(VLOOKUP(C119,DonGia!$A$4:$D$203,4,FALSE),0))</f>
        <v/>
      </c>
      <c r="K119" s="49" t="n"/>
      <c r="L119" s="49" t="n"/>
      <c r="M119" s="51" t="str">
        <f>IF(A119="","",E119*H119+D119*F119/60*G119+D119*I119*J119+D119*K119+D119*L119)</f>
        <v/>
      </c>
      <c r="N119" s="50">
        <f>IFERROR(M119/D119,0)</f>
        <v>0</v>
      </c>
    </row>
    <row r="120">
      <c r="A120" s="49" t="n"/>
      <c r="B120" s="49" t="n"/>
      <c r="C120" s="49" t="n"/>
      <c r="D120" s="50" t="str">
        <f>IF(A120="","",IFERROR(VLOOKUP(A120,TinhGia!$A$4:$B$53,2,FALSE),0))</f>
        <v/>
      </c>
      <c r="E120" s="49" t="n"/>
      <c r="F120" s="49" t="n"/>
      <c r="G120" s="51" t="str">
        <f>IF(C120="","",IFERROR(VLOOKUP(C120,DonGia!$A$4:$D$203,2,FALSE),0))</f>
        <v/>
      </c>
      <c r="H120" s="51" t="str">
        <f>IF(C120="","",IFERROR(VLOOKUP(C120,DonGia!$A$4:$D$203,3,FALSE),0))</f>
        <v/>
      </c>
      <c r="I120" s="49" t="n"/>
      <c r="J120" s="50" t="str">
        <f>IF(C120="","",IFERROR(VLOOKUP(C120,DonGia!$A$4:$D$203,4,FALSE),0))</f>
        <v/>
      </c>
      <c r="K120" s="49" t="n"/>
      <c r="L120" s="49" t="n"/>
      <c r="M120" s="51" t="str">
        <f>IF(A120="","",E120*H120+D120*F120/60*G120+D120*I120*J120+D120*K120+D120*L120)</f>
        <v/>
      </c>
      <c r="N120" s="50">
        <f>IFERROR(M120/D120,0)</f>
        <v>0</v>
      </c>
    </row>
    <row r="121">
      <c r="A121" s="49" t="n"/>
      <c r="B121" s="49" t="n"/>
      <c r="C121" s="49" t="n"/>
      <c r="D121" s="50" t="str">
        <f>IF(A121="","",IFERROR(VLOOKUP(A121,TinhGia!$A$4:$B$53,2,FALSE),0))</f>
        <v/>
      </c>
      <c r="E121" s="49" t="n"/>
      <c r="F121" s="49" t="n"/>
      <c r="G121" s="51" t="str">
        <f>IF(C121="","",IFERROR(VLOOKUP(C121,DonGia!$A$4:$D$203,2,FALSE),0))</f>
        <v/>
      </c>
      <c r="H121" s="51" t="str">
        <f>IF(C121="","",IFERROR(VLOOKUP(C121,DonGia!$A$4:$D$203,3,FALSE),0))</f>
        <v/>
      </c>
      <c r="I121" s="49" t="n"/>
      <c r="J121" s="50" t="str">
        <f>IF(C121="","",IFERROR(VLOOKUP(C121,DonGia!$A$4:$D$203,4,FALSE),0))</f>
        <v/>
      </c>
      <c r="K121" s="49" t="n"/>
      <c r="L121" s="49" t="n"/>
      <c r="M121" s="51" t="str">
        <f>IF(A121="","",E121*H121+D121*F121/60*G121+D121*I121*J121+D121*K121+D121*L121)</f>
        <v/>
      </c>
      <c r="N121" s="50">
        <f>IFERROR(M121/D121,0)</f>
        <v>0</v>
      </c>
    </row>
    <row r="122">
      <c r="A122" s="49" t="n"/>
      <c r="B122" s="49" t="n"/>
      <c r="C122" s="49" t="n"/>
      <c r="D122" s="50" t="str">
        <f>IF(A122="","",IFERROR(VLOOKUP(A122,TinhGia!$A$4:$B$53,2,FALSE),0))</f>
        <v/>
      </c>
      <c r="E122" s="49" t="n"/>
      <c r="F122" s="49" t="n"/>
      <c r="G122" s="51" t="str">
        <f>IF(C122="","",IFERROR(VLOOKUP(C122,DonGia!$A$4:$D$203,2,FALSE),0))</f>
        <v/>
      </c>
      <c r="H122" s="51" t="str">
        <f>IF(C122="","",IFERROR(VLOOKUP(C122,DonGia!$A$4:$D$203,3,FALSE),0))</f>
        <v/>
      </c>
      <c r="I122" s="49" t="n"/>
      <c r="J122" s="50" t="str">
        <f>IF(C122="","",IFERROR(VLOOKUP(C122,DonGia!$A$4:$D$203,4,FALSE),0))</f>
        <v/>
      </c>
      <c r="K122" s="49" t="n"/>
      <c r="L122" s="49" t="n"/>
      <c r="M122" s="51" t="str">
        <f>IF(A122="","",E122*H122+D122*F122/60*G122+D122*I122*J122+D122*K122+D122*L122)</f>
        <v/>
      </c>
      <c r="N122" s="50">
        <f>IFERROR(M122/D122,0)</f>
        <v>0</v>
      </c>
    </row>
    <row r="123">
      <c r="A123" s="49" t="n"/>
      <c r="B123" s="49" t="n"/>
      <c r="C123" s="49" t="n"/>
      <c r="D123" s="50" t="str">
        <f>IF(A123="","",IFERROR(VLOOKUP(A123,TinhGia!$A$4:$B$53,2,FALSE),0))</f>
        <v/>
      </c>
      <c r="E123" s="49" t="n"/>
      <c r="F123" s="49" t="n"/>
      <c r="G123" s="51" t="str">
        <f>IF(C123="","",IFERROR(VLOOKUP(C123,DonGia!$A$4:$D$203,2,FALSE),0))</f>
        <v/>
      </c>
      <c r="H123" s="51" t="str">
        <f>IF(C123="","",IFERROR(VLOOKUP(C123,DonGia!$A$4:$D$203,3,FALSE),0))</f>
        <v/>
      </c>
      <c r="I123" s="49" t="n"/>
      <c r="J123" s="50" t="str">
        <f>IF(C123="","",IFERROR(VLOOKUP(C123,DonGia!$A$4:$D$203,4,FALSE),0))</f>
        <v/>
      </c>
      <c r="K123" s="49" t="n"/>
      <c r="L123" s="49" t="n"/>
      <c r="M123" s="51" t="str">
        <f>IF(A123="","",E123*H123+D123*F123/60*G123+D123*I123*J123+D123*K123+D123*L123)</f>
        <v/>
      </c>
      <c r="N123" s="50">
        <f>IFERROR(M123/D123,0)</f>
        <v>0</v>
      </c>
    </row>
    <row r="124">
      <c r="A124" s="49" t="n"/>
      <c r="B124" s="49" t="n"/>
      <c r="C124" s="49" t="n"/>
      <c r="D124" s="50" t="str">
        <f>IF(A124="","",IFERROR(VLOOKUP(A124,TinhGia!$A$4:$B$53,2,FALSE),0))</f>
        <v/>
      </c>
      <c r="E124" s="49" t="n"/>
      <c r="F124" s="49" t="n"/>
      <c r="G124" s="51" t="str">
        <f>IF(C124="","",IFERROR(VLOOKUP(C124,DonGia!$A$4:$D$203,2,FALSE),0))</f>
        <v/>
      </c>
      <c r="H124" s="51" t="str">
        <f>IF(C124="","",IFERROR(VLOOKUP(C124,DonGia!$A$4:$D$203,3,FALSE),0))</f>
        <v/>
      </c>
      <c r="I124" s="49" t="n"/>
      <c r="J124" s="50" t="str">
        <f>IF(C124="","",IFERROR(VLOOKUP(C124,DonGia!$A$4:$D$203,4,FALSE),0))</f>
        <v/>
      </c>
      <c r="K124" s="49" t="n"/>
      <c r="L124" s="49" t="n"/>
      <c r="M124" s="51" t="str">
        <f>IF(A124="","",E124*H124+D124*F124/60*G124+D124*I124*J124+D124*K124+D124*L124)</f>
        <v/>
      </c>
      <c r="N124" s="50">
        <f>IFERROR(M124/D124,0)</f>
        <v>0</v>
      </c>
    </row>
    <row r="125">
      <c r="A125" s="49" t="n"/>
      <c r="B125" s="49" t="n"/>
      <c r="C125" s="49" t="n"/>
      <c r="D125" s="50" t="str">
        <f>IF(A125="","",IFERROR(VLOOKUP(A125,TinhGia!$A$4:$B$53,2,FALSE),0))</f>
        <v/>
      </c>
      <c r="E125" s="49" t="n"/>
      <c r="F125" s="49" t="n"/>
      <c r="G125" s="51" t="str">
        <f>IF(C125="","",IFERROR(VLOOKUP(C125,DonGia!$A$4:$D$203,2,FALSE),0))</f>
        <v/>
      </c>
      <c r="H125" s="51" t="str">
        <f>IF(C125="","",IFERROR(VLOOKUP(C125,DonGia!$A$4:$D$203,3,FALSE),0))</f>
        <v/>
      </c>
      <c r="I125" s="49" t="n"/>
      <c r="J125" s="50" t="str">
        <f>IF(C125="","",IFERROR(VLOOKUP(C125,DonGia!$A$4:$D$203,4,FALSE),0))</f>
        <v/>
      </c>
      <c r="K125" s="49" t="n"/>
      <c r="L125" s="49" t="n"/>
      <c r="M125" s="51" t="str">
        <f>IF(A125="","",E125*H125+D125*F125/60*G125+D125*I125*J125+D125*K125+D125*L125)</f>
        <v/>
      </c>
      <c r="N125" s="50">
        <f>IFERROR(M125/D125,0)</f>
        <v>0</v>
      </c>
    </row>
    <row r="126">
      <c r="A126" s="49" t="n"/>
      <c r="B126" s="49" t="n"/>
      <c r="C126" s="49" t="n"/>
      <c r="D126" s="50" t="str">
        <f>IF(A126="","",IFERROR(VLOOKUP(A126,TinhGia!$A$4:$B$53,2,FALSE),0))</f>
        <v/>
      </c>
      <c r="E126" s="49" t="n"/>
      <c r="F126" s="49" t="n"/>
      <c r="G126" s="51" t="str">
        <f>IF(C126="","",IFERROR(VLOOKUP(C126,DonGia!$A$4:$D$203,2,FALSE),0))</f>
        <v/>
      </c>
      <c r="H126" s="51" t="str">
        <f>IF(C126="","",IFERROR(VLOOKUP(C126,DonGia!$A$4:$D$203,3,FALSE),0))</f>
        <v/>
      </c>
      <c r="I126" s="49" t="n"/>
      <c r="J126" s="50" t="str">
        <f>IF(C126="","",IFERROR(VLOOKUP(C126,DonGia!$A$4:$D$203,4,FALSE),0))</f>
        <v/>
      </c>
      <c r="K126" s="49" t="n"/>
      <c r="L126" s="49" t="n"/>
      <c r="M126" s="51" t="str">
        <f>IF(A126="","",E126*H126+D126*F126/60*G126+D126*I126*J126+D126*K126+D126*L126)</f>
        <v/>
      </c>
      <c r="N126" s="50">
        <f>IFERROR(M126/D126,0)</f>
        <v>0</v>
      </c>
    </row>
    <row r="127">
      <c r="A127" s="49" t="n"/>
      <c r="B127" s="49" t="n"/>
      <c r="C127" s="49" t="n"/>
      <c r="D127" s="50" t="str">
        <f>IF(A127="","",IFERROR(VLOOKUP(A127,TinhGia!$A$4:$B$53,2,FALSE),0))</f>
        <v/>
      </c>
      <c r="E127" s="49" t="n"/>
      <c r="F127" s="49" t="n"/>
      <c r="G127" s="51" t="str">
        <f>IF(C127="","",IFERROR(VLOOKUP(C127,DonGia!$A$4:$D$203,2,FALSE),0))</f>
        <v/>
      </c>
      <c r="H127" s="51" t="str">
        <f>IF(C127="","",IFERROR(VLOOKUP(C127,DonGia!$A$4:$D$203,3,FALSE),0))</f>
        <v/>
      </c>
      <c r="I127" s="49" t="n"/>
      <c r="J127" s="50" t="str">
        <f>IF(C127="","",IFERROR(VLOOKUP(C127,DonGia!$A$4:$D$203,4,FALSE),0))</f>
        <v/>
      </c>
      <c r="K127" s="49" t="n"/>
      <c r="L127" s="49" t="n"/>
      <c r="M127" s="51" t="str">
        <f>IF(A127="","",E127*H127+D127*F127/60*G127+D127*I127*J127+D127*K127+D127*L127)</f>
        <v/>
      </c>
      <c r="N127" s="50">
        <f>IFERROR(M127/D127,0)</f>
        <v>0</v>
      </c>
    </row>
    <row r="128">
      <c r="A128" s="49" t="n"/>
      <c r="B128" s="49" t="n"/>
      <c r="C128" s="49" t="n"/>
      <c r="D128" s="50" t="str">
        <f>IF(A128="","",IFERROR(VLOOKUP(A128,TinhGia!$A$4:$B$53,2,FALSE),0))</f>
        <v/>
      </c>
      <c r="E128" s="49" t="n"/>
      <c r="F128" s="49" t="n"/>
      <c r="G128" s="51" t="str">
        <f>IF(C128="","",IFERROR(VLOOKUP(C128,DonGia!$A$4:$D$203,2,FALSE),0))</f>
        <v/>
      </c>
      <c r="H128" s="51" t="str">
        <f>IF(C128="","",IFERROR(VLOOKUP(C128,DonGia!$A$4:$D$203,3,FALSE),0))</f>
        <v/>
      </c>
      <c r="I128" s="49" t="n"/>
      <c r="J128" s="50" t="str">
        <f>IF(C128="","",IFERROR(VLOOKUP(C128,DonGia!$A$4:$D$203,4,FALSE),0))</f>
        <v/>
      </c>
      <c r="K128" s="49" t="n"/>
      <c r="L128" s="49" t="n"/>
      <c r="M128" s="51" t="str">
        <f>IF(A128="","",E128*H128+D128*F128/60*G128+D128*I128*J128+D128*K128+D128*L128)</f>
        <v/>
      </c>
      <c r="N128" s="50">
        <f>IFERROR(M128/D128,0)</f>
        <v>0</v>
      </c>
    </row>
    <row r="129">
      <c r="A129" s="49" t="n"/>
      <c r="B129" s="49" t="n"/>
      <c r="C129" s="49" t="n"/>
      <c r="D129" s="50" t="str">
        <f>IF(A129="","",IFERROR(VLOOKUP(A129,TinhGia!$A$4:$B$53,2,FALSE),0))</f>
        <v/>
      </c>
      <c r="E129" s="49" t="n"/>
      <c r="F129" s="49" t="n"/>
      <c r="G129" s="51" t="str">
        <f>IF(C129="","",IFERROR(VLOOKUP(C129,DonGia!$A$4:$D$203,2,FALSE),0))</f>
        <v/>
      </c>
      <c r="H129" s="51" t="str">
        <f>IF(C129="","",IFERROR(VLOOKUP(C129,DonGia!$A$4:$D$203,3,FALSE),0))</f>
        <v/>
      </c>
      <c r="I129" s="49" t="n"/>
      <c r="J129" s="50" t="str">
        <f>IF(C129="","",IFERROR(VLOOKUP(C129,DonGia!$A$4:$D$203,4,FALSE),0))</f>
        <v/>
      </c>
      <c r="K129" s="49" t="n"/>
      <c r="L129" s="49" t="n"/>
      <c r="M129" s="51" t="str">
        <f>IF(A129="","",E129*H129+D129*F129/60*G129+D129*I129*J129+D129*K129+D129*L129)</f>
        <v/>
      </c>
      <c r="N129" s="50">
        <f>IFERROR(M129/D129,0)</f>
        <v>0</v>
      </c>
    </row>
    <row r="130">
      <c r="A130" s="49" t="n"/>
      <c r="B130" s="49" t="n"/>
      <c r="C130" s="49" t="n"/>
      <c r="D130" s="50" t="str">
        <f>IF(A130="","",IFERROR(VLOOKUP(A130,TinhGia!$A$4:$B$53,2,FALSE),0))</f>
        <v/>
      </c>
      <c r="E130" s="49" t="n"/>
      <c r="F130" s="49" t="n"/>
      <c r="G130" s="51" t="str">
        <f>IF(C130="","",IFERROR(VLOOKUP(C130,DonGia!$A$4:$D$203,2,FALSE),0))</f>
        <v/>
      </c>
      <c r="H130" s="51" t="str">
        <f>IF(C130="","",IFERROR(VLOOKUP(C130,DonGia!$A$4:$D$203,3,FALSE),0))</f>
        <v/>
      </c>
      <c r="I130" s="49" t="n"/>
      <c r="J130" s="50" t="str">
        <f>IF(C130="","",IFERROR(VLOOKUP(C130,DonGia!$A$4:$D$203,4,FALSE),0))</f>
        <v/>
      </c>
      <c r="K130" s="49" t="n"/>
      <c r="L130" s="49" t="n"/>
      <c r="M130" s="51" t="str">
        <f>IF(A130="","",E130*H130+D130*F130/60*G130+D130*I130*J130+D130*K130+D130*L130)</f>
        <v/>
      </c>
      <c r="N130" s="50">
        <f>IFERROR(M130/D130,0)</f>
        <v>0</v>
      </c>
    </row>
    <row r="131">
      <c r="A131" s="49" t="n"/>
      <c r="B131" s="49" t="n"/>
      <c r="C131" s="49" t="n"/>
      <c r="D131" s="50" t="str">
        <f>IF(A131="","",IFERROR(VLOOKUP(A131,TinhGia!$A$4:$B$53,2,FALSE),0))</f>
        <v/>
      </c>
      <c r="E131" s="49" t="n"/>
      <c r="F131" s="49" t="n"/>
      <c r="G131" s="51" t="str">
        <f>IF(C131="","",IFERROR(VLOOKUP(C131,DonGia!$A$4:$D$203,2,FALSE),0))</f>
        <v/>
      </c>
      <c r="H131" s="51" t="str">
        <f>IF(C131="","",IFERROR(VLOOKUP(C131,DonGia!$A$4:$D$203,3,FALSE),0))</f>
        <v/>
      </c>
      <c r="I131" s="49" t="n"/>
      <c r="J131" s="50" t="str">
        <f>IF(C131="","",IFERROR(VLOOKUP(C131,DonGia!$A$4:$D$203,4,FALSE),0))</f>
        <v/>
      </c>
      <c r="K131" s="49" t="n"/>
      <c r="L131" s="49" t="n"/>
      <c r="M131" s="51" t="str">
        <f>IF(A131="","",E131*H131+D131*F131/60*G131+D131*I131*J131+D131*K131+D131*L131)</f>
        <v/>
      </c>
      <c r="N131" s="50">
        <f>IFERROR(M131/D131,0)</f>
        <v>0</v>
      </c>
    </row>
    <row r="132">
      <c r="A132" s="49" t="n"/>
      <c r="B132" s="49" t="n"/>
      <c r="C132" s="49" t="n"/>
      <c r="D132" s="50" t="str">
        <f>IF(A132="","",IFERROR(VLOOKUP(A132,TinhGia!$A$4:$B$53,2,FALSE),0))</f>
        <v/>
      </c>
      <c r="E132" s="49" t="n"/>
      <c r="F132" s="49" t="n"/>
      <c r="G132" s="51" t="str">
        <f>IF(C132="","",IFERROR(VLOOKUP(C132,DonGia!$A$4:$D$203,2,FALSE),0))</f>
        <v/>
      </c>
      <c r="H132" s="51" t="str">
        <f>IF(C132="","",IFERROR(VLOOKUP(C132,DonGia!$A$4:$D$203,3,FALSE),0))</f>
        <v/>
      </c>
      <c r="I132" s="49" t="n"/>
      <c r="J132" s="50" t="str">
        <f>IF(C132="","",IFERROR(VLOOKUP(C132,DonGia!$A$4:$D$203,4,FALSE),0))</f>
        <v/>
      </c>
      <c r="K132" s="49" t="n"/>
      <c r="L132" s="49" t="n"/>
      <c r="M132" s="51" t="str">
        <f>IF(A132="","",E132*H132+D132*F132/60*G132+D132*I132*J132+D132*K132+D132*L132)</f>
        <v/>
      </c>
      <c r="N132" s="50">
        <f>IFERROR(M132/D132,0)</f>
        <v>0</v>
      </c>
    </row>
    <row r="133">
      <c r="A133" s="49" t="n"/>
      <c r="B133" s="49" t="n"/>
      <c r="C133" s="49" t="n"/>
      <c r="D133" s="50" t="str">
        <f>IF(A133="","",IFERROR(VLOOKUP(A133,TinhGia!$A$4:$B$53,2,FALSE),0))</f>
        <v/>
      </c>
      <c r="E133" s="49" t="n"/>
      <c r="F133" s="49" t="n"/>
      <c r="G133" s="51" t="str">
        <f>IF(C133="","",IFERROR(VLOOKUP(C133,DonGia!$A$4:$D$203,2,FALSE),0))</f>
        <v/>
      </c>
      <c r="H133" s="51" t="str">
        <f>IF(C133="","",IFERROR(VLOOKUP(C133,DonGia!$A$4:$D$203,3,FALSE),0))</f>
        <v/>
      </c>
      <c r="I133" s="49" t="n"/>
      <c r="J133" s="50" t="str">
        <f>IF(C133="","",IFERROR(VLOOKUP(C133,DonGia!$A$4:$D$203,4,FALSE),0))</f>
        <v/>
      </c>
      <c r="K133" s="49" t="n"/>
      <c r="L133" s="49" t="n"/>
      <c r="M133" s="51" t="str">
        <f>IF(A133="","",E133*H133+D133*F133/60*G133+D133*I133*J133+D133*K133+D133*L133)</f>
        <v/>
      </c>
      <c r="N133" s="50">
        <f>IFERROR(M133/D133,0)</f>
        <v>0</v>
      </c>
    </row>
    <row r="134">
      <c r="A134" s="49" t="n"/>
      <c r="B134" s="49" t="n"/>
      <c r="C134" s="49" t="n"/>
      <c r="D134" s="50" t="str">
        <f>IF(A134="","",IFERROR(VLOOKUP(A134,TinhGia!$A$4:$B$53,2,FALSE),0))</f>
        <v/>
      </c>
      <c r="E134" s="49" t="n"/>
      <c r="F134" s="49" t="n"/>
      <c r="G134" s="51" t="str">
        <f>IF(C134="","",IFERROR(VLOOKUP(C134,DonGia!$A$4:$D$203,2,FALSE),0))</f>
        <v/>
      </c>
      <c r="H134" s="51" t="str">
        <f>IF(C134="","",IFERROR(VLOOKUP(C134,DonGia!$A$4:$D$203,3,FALSE),0))</f>
        <v/>
      </c>
      <c r="I134" s="49" t="n"/>
      <c r="J134" s="50" t="str">
        <f>IF(C134="","",IFERROR(VLOOKUP(C134,DonGia!$A$4:$D$203,4,FALSE),0))</f>
        <v/>
      </c>
      <c r="K134" s="49" t="n"/>
      <c r="L134" s="49" t="n"/>
      <c r="M134" s="51" t="str">
        <f>IF(A134="","",E134*H134+D134*F134/60*G134+D134*I134*J134+D134*K134+D134*L134)</f>
        <v/>
      </c>
      <c r="N134" s="50">
        <f>IFERROR(M134/D134,0)</f>
        <v>0</v>
      </c>
    </row>
    <row r="135">
      <c r="A135" s="49" t="n"/>
      <c r="B135" s="49" t="n"/>
      <c r="C135" s="49" t="n"/>
      <c r="D135" s="50" t="str">
        <f>IF(A135="","",IFERROR(VLOOKUP(A135,TinhGia!$A$4:$B$53,2,FALSE),0))</f>
        <v/>
      </c>
      <c r="E135" s="49" t="n"/>
      <c r="F135" s="49" t="n"/>
      <c r="G135" s="51" t="str">
        <f>IF(C135="","",IFERROR(VLOOKUP(C135,DonGia!$A$4:$D$203,2,FALSE),0))</f>
        <v/>
      </c>
      <c r="H135" s="51" t="str">
        <f>IF(C135="","",IFERROR(VLOOKUP(C135,DonGia!$A$4:$D$203,3,FALSE),0))</f>
        <v/>
      </c>
      <c r="I135" s="49" t="n"/>
      <c r="J135" s="50" t="str">
        <f>IF(C135="","",IFERROR(VLOOKUP(C135,DonGia!$A$4:$D$203,4,FALSE),0))</f>
        <v/>
      </c>
      <c r="K135" s="49" t="n"/>
      <c r="L135" s="49" t="n"/>
      <c r="M135" s="51" t="str">
        <f>IF(A135="","",E135*H135+D135*F135/60*G135+D135*I135*J135+D135*K135+D135*L135)</f>
        <v/>
      </c>
      <c r="N135" s="50">
        <f>IFERROR(M135/D135,0)</f>
        <v>0</v>
      </c>
    </row>
    <row r="136">
      <c r="A136" s="49" t="n"/>
      <c r="B136" s="49" t="n"/>
      <c r="C136" s="49" t="n"/>
      <c r="D136" s="50" t="str">
        <f>IF(A136="","",IFERROR(VLOOKUP(A136,TinhGia!$A$4:$B$53,2,FALSE),0))</f>
        <v/>
      </c>
      <c r="E136" s="49" t="n"/>
      <c r="F136" s="49" t="n"/>
      <c r="G136" s="51" t="str">
        <f>IF(C136="","",IFERROR(VLOOKUP(C136,DonGia!$A$4:$D$203,2,FALSE),0))</f>
        <v/>
      </c>
      <c r="H136" s="51" t="str">
        <f>IF(C136="","",IFERROR(VLOOKUP(C136,DonGia!$A$4:$D$203,3,FALSE),0))</f>
        <v/>
      </c>
      <c r="I136" s="49" t="n"/>
      <c r="J136" s="50" t="str">
        <f>IF(C136="","",IFERROR(VLOOKUP(C136,DonGia!$A$4:$D$203,4,FALSE),0))</f>
        <v/>
      </c>
      <c r="K136" s="49" t="n"/>
      <c r="L136" s="49" t="n"/>
      <c r="M136" s="51" t="str">
        <f>IF(A136="","",E136*H136+D136*F136/60*G136+D136*I136*J136+D136*K136+D136*L136)</f>
        <v/>
      </c>
      <c r="N136" s="50">
        <f>IFERROR(M136/D136,0)</f>
        <v>0</v>
      </c>
    </row>
    <row r="137">
      <c r="A137" s="49" t="n"/>
      <c r="B137" s="49" t="n"/>
      <c r="C137" s="49" t="n"/>
      <c r="D137" s="50" t="str">
        <f>IF(A137="","",IFERROR(VLOOKUP(A137,TinhGia!$A$4:$B$53,2,FALSE),0))</f>
        <v/>
      </c>
      <c r="E137" s="49" t="n"/>
      <c r="F137" s="49" t="n"/>
      <c r="G137" s="51" t="str">
        <f>IF(C137="","",IFERROR(VLOOKUP(C137,DonGia!$A$4:$D$203,2,FALSE),0))</f>
        <v/>
      </c>
      <c r="H137" s="51" t="str">
        <f>IF(C137="","",IFERROR(VLOOKUP(C137,DonGia!$A$4:$D$203,3,FALSE),0))</f>
        <v/>
      </c>
      <c r="I137" s="49" t="n"/>
      <c r="J137" s="50" t="str">
        <f>IF(C137="","",IFERROR(VLOOKUP(C137,DonGia!$A$4:$D$203,4,FALSE),0))</f>
        <v/>
      </c>
      <c r="K137" s="49" t="n"/>
      <c r="L137" s="49" t="n"/>
      <c r="M137" s="51" t="str">
        <f>IF(A137="","",E137*H137+D137*F137/60*G137+D137*I137*J137+D137*K137+D137*L137)</f>
        <v/>
      </c>
      <c r="N137" s="50">
        <f>IFERROR(M137/D137,0)</f>
        <v>0</v>
      </c>
    </row>
    <row r="138">
      <c r="A138" s="49" t="n"/>
      <c r="B138" s="49" t="n"/>
      <c r="C138" s="49" t="n"/>
      <c r="D138" s="50" t="str">
        <f>IF(A138="","",IFERROR(VLOOKUP(A138,TinhGia!$A$4:$B$53,2,FALSE),0))</f>
        <v/>
      </c>
      <c r="E138" s="49" t="n"/>
      <c r="F138" s="49" t="n"/>
      <c r="G138" s="51" t="str">
        <f>IF(C138="","",IFERROR(VLOOKUP(C138,DonGia!$A$4:$D$203,2,FALSE),0))</f>
        <v/>
      </c>
      <c r="H138" s="51" t="str">
        <f>IF(C138="","",IFERROR(VLOOKUP(C138,DonGia!$A$4:$D$203,3,FALSE),0))</f>
        <v/>
      </c>
      <c r="I138" s="49" t="n"/>
      <c r="J138" s="50" t="str">
        <f>IF(C138="","",IFERROR(VLOOKUP(C138,DonGia!$A$4:$D$203,4,FALSE),0))</f>
        <v/>
      </c>
      <c r="K138" s="49" t="n"/>
      <c r="L138" s="49" t="n"/>
      <c r="M138" s="51" t="str">
        <f>IF(A138="","",E138*H138+D138*F138/60*G138+D138*I138*J138+D138*K138+D138*L138)</f>
        <v/>
      </c>
      <c r="N138" s="50">
        <f>IFERROR(M138/D138,0)</f>
        <v>0</v>
      </c>
    </row>
    <row r="139">
      <c r="A139" s="49" t="n"/>
      <c r="B139" s="49" t="n"/>
      <c r="C139" s="49" t="n"/>
      <c r="D139" s="50" t="str">
        <f>IF(A139="","",IFERROR(VLOOKUP(A139,TinhGia!$A$4:$B$53,2,FALSE),0))</f>
        <v/>
      </c>
      <c r="E139" s="49" t="n"/>
      <c r="F139" s="49" t="n"/>
      <c r="G139" s="51" t="str">
        <f>IF(C139="","",IFERROR(VLOOKUP(C139,DonGia!$A$4:$D$203,2,FALSE),0))</f>
        <v/>
      </c>
      <c r="H139" s="51" t="str">
        <f>IF(C139="","",IFERROR(VLOOKUP(C139,DonGia!$A$4:$D$203,3,FALSE),0))</f>
        <v/>
      </c>
      <c r="I139" s="49" t="n"/>
      <c r="J139" s="50" t="str">
        <f>IF(C139="","",IFERROR(VLOOKUP(C139,DonGia!$A$4:$D$203,4,FALSE),0))</f>
        <v/>
      </c>
      <c r="K139" s="49" t="n"/>
      <c r="L139" s="49" t="n"/>
      <c r="M139" s="51" t="str">
        <f>IF(A139="","",E139*H139+D139*F139/60*G139+D139*I139*J139+D139*K139+D139*L139)</f>
        <v/>
      </c>
      <c r="N139" s="50">
        <f>IFERROR(M139/D139,0)</f>
        <v>0</v>
      </c>
    </row>
    <row r="140">
      <c r="A140" s="49" t="n"/>
      <c r="B140" s="49" t="n"/>
      <c r="C140" s="49" t="n"/>
      <c r="D140" s="50" t="str">
        <f>IF(A140="","",IFERROR(VLOOKUP(A140,TinhGia!$A$4:$B$53,2,FALSE),0))</f>
        <v/>
      </c>
      <c r="E140" s="49" t="n"/>
      <c r="F140" s="49" t="n"/>
      <c r="G140" s="51" t="str">
        <f>IF(C140="","",IFERROR(VLOOKUP(C140,DonGia!$A$4:$D$203,2,FALSE),0))</f>
        <v/>
      </c>
      <c r="H140" s="51" t="str">
        <f>IF(C140="","",IFERROR(VLOOKUP(C140,DonGia!$A$4:$D$203,3,FALSE),0))</f>
        <v/>
      </c>
      <c r="I140" s="49" t="n"/>
      <c r="J140" s="50" t="str">
        <f>IF(C140="","",IFERROR(VLOOKUP(C140,DonGia!$A$4:$D$203,4,FALSE),0))</f>
        <v/>
      </c>
      <c r="K140" s="49" t="n"/>
      <c r="L140" s="49" t="n"/>
      <c r="M140" s="51" t="str">
        <f>IF(A140="","",E140*H140+D140*F140/60*G140+D140*I140*J140+D140*K140+D140*L140)</f>
        <v/>
      </c>
      <c r="N140" s="50">
        <f>IFERROR(M140/D140,0)</f>
        <v>0</v>
      </c>
    </row>
    <row r="141">
      <c r="A141" s="49" t="n"/>
      <c r="B141" s="49" t="n"/>
      <c r="C141" s="49" t="n"/>
      <c r="D141" s="50" t="str">
        <f>IF(A141="","",IFERROR(VLOOKUP(A141,TinhGia!$A$4:$B$53,2,FALSE),0))</f>
        <v/>
      </c>
      <c r="E141" s="49" t="n"/>
      <c r="F141" s="49" t="n"/>
      <c r="G141" s="51" t="str">
        <f>IF(C141="","",IFERROR(VLOOKUP(C141,DonGia!$A$4:$D$203,2,FALSE),0))</f>
        <v/>
      </c>
      <c r="H141" s="51" t="str">
        <f>IF(C141="","",IFERROR(VLOOKUP(C141,DonGia!$A$4:$D$203,3,FALSE),0))</f>
        <v/>
      </c>
      <c r="I141" s="49" t="n"/>
      <c r="J141" s="50" t="str">
        <f>IF(C141="","",IFERROR(VLOOKUP(C141,DonGia!$A$4:$D$203,4,FALSE),0))</f>
        <v/>
      </c>
      <c r="K141" s="49" t="n"/>
      <c r="L141" s="49" t="n"/>
      <c r="M141" s="51" t="str">
        <f>IF(A141="","",E141*H141+D141*F141/60*G141+D141*I141*J141+D141*K141+D141*L141)</f>
        <v/>
      </c>
      <c r="N141" s="50">
        <f>IFERROR(M141/D141,0)</f>
        <v>0</v>
      </c>
    </row>
    <row r="142">
      <c r="A142" s="49" t="n"/>
      <c r="B142" s="49" t="n"/>
      <c r="C142" s="49" t="n"/>
      <c r="D142" s="50" t="str">
        <f>IF(A142="","",IFERROR(VLOOKUP(A142,TinhGia!$A$4:$B$53,2,FALSE),0))</f>
        <v/>
      </c>
      <c r="E142" s="49" t="n"/>
      <c r="F142" s="49" t="n"/>
      <c r="G142" s="51" t="str">
        <f>IF(C142="","",IFERROR(VLOOKUP(C142,DonGia!$A$4:$D$203,2,FALSE),0))</f>
        <v/>
      </c>
      <c r="H142" s="51" t="str">
        <f>IF(C142="","",IFERROR(VLOOKUP(C142,DonGia!$A$4:$D$203,3,FALSE),0))</f>
        <v/>
      </c>
      <c r="I142" s="49" t="n"/>
      <c r="J142" s="50" t="str">
        <f>IF(C142="","",IFERROR(VLOOKUP(C142,DonGia!$A$4:$D$203,4,FALSE),0))</f>
        <v/>
      </c>
      <c r="K142" s="49" t="n"/>
      <c r="L142" s="49" t="n"/>
      <c r="M142" s="51" t="str">
        <f>IF(A142="","",E142*H142+D142*F142/60*G142+D142*I142*J142+D142*K142+D142*L142)</f>
        <v/>
      </c>
      <c r="N142" s="50">
        <f>IFERROR(M142/D142,0)</f>
        <v>0</v>
      </c>
    </row>
    <row r="143">
      <c r="A143" s="49" t="n"/>
      <c r="B143" s="49" t="n"/>
      <c r="C143" s="49" t="n"/>
      <c r="D143" s="50" t="str">
        <f>IF(A143="","",IFERROR(VLOOKUP(A143,TinhGia!$A$4:$B$53,2,FALSE),0))</f>
        <v/>
      </c>
      <c r="E143" s="49" t="n"/>
      <c r="F143" s="49" t="n"/>
      <c r="G143" s="51" t="str">
        <f>IF(C143="","",IFERROR(VLOOKUP(C143,DonGia!$A$4:$D$203,2,FALSE),0))</f>
        <v/>
      </c>
      <c r="H143" s="51" t="str">
        <f>IF(C143="","",IFERROR(VLOOKUP(C143,DonGia!$A$4:$D$203,3,FALSE),0))</f>
        <v/>
      </c>
      <c r="I143" s="49" t="n"/>
      <c r="J143" s="50" t="str">
        <f>IF(C143="","",IFERROR(VLOOKUP(C143,DonGia!$A$4:$D$203,4,FALSE),0))</f>
        <v/>
      </c>
      <c r="K143" s="49" t="n"/>
      <c r="L143" s="49" t="n"/>
      <c r="M143" s="51" t="str">
        <f>IF(A143="","",E143*H143+D143*F143/60*G143+D143*I143*J143+D143*K143+D143*L143)</f>
        <v/>
      </c>
      <c r="N143" s="50">
        <f>IFERROR(M143/D143,0)</f>
        <v>0</v>
      </c>
    </row>
    <row r="144">
      <c r="A144" s="49" t="n"/>
      <c r="B144" s="49" t="n"/>
      <c r="C144" s="49" t="n"/>
      <c r="D144" s="50" t="str">
        <f>IF(A144="","",IFERROR(VLOOKUP(A144,TinhGia!$A$4:$B$53,2,FALSE),0))</f>
        <v/>
      </c>
      <c r="E144" s="49" t="n"/>
      <c r="F144" s="49" t="n"/>
      <c r="G144" s="51" t="str">
        <f>IF(C144="","",IFERROR(VLOOKUP(C144,DonGia!$A$4:$D$203,2,FALSE),0))</f>
        <v/>
      </c>
      <c r="H144" s="51" t="str">
        <f>IF(C144="","",IFERROR(VLOOKUP(C144,DonGia!$A$4:$D$203,3,FALSE),0))</f>
        <v/>
      </c>
      <c r="I144" s="49" t="n"/>
      <c r="J144" s="50" t="str">
        <f>IF(C144="","",IFERROR(VLOOKUP(C144,DonGia!$A$4:$D$203,4,FALSE),0))</f>
        <v/>
      </c>
      <c r="K144" s="49" t="n"/>
      <c r="L144" s="49" t="n"/>
      <c r="M144" s="51" t="str">
        <f>IF(A144="","",E144*H144+D144*F144/60*G144+D144*I144*J144+D144*K144+D144*L144)</f>
        <v/>
      </c>
      <c r="N144" s="50">
        <f>IFERROR(M144/D144,0)</f>
        <v>0</v>
      </c>
    </row>
    <row r="145">
      <c r="A145" s="49" t="n"/>
      <c r="B145" s="49" t="n"/>
      <c r="C145" s="49" t="n"/>
      <c r="D145" s="50" t="str">
        <f>IF(A145="","",IFERROR(VLOOKUP(A145,TinhGia!$A$4:$B$53,2,FALSE),0))</f>
        <v/>
      </c>
      <c r="E145" s="49" t="n"/>
      <c r="F145" s="49" t="n"/>
      <c r="G145" s="51" t="str">
        <f>IF(C145="","",IFERROR(VLOOKUP(C145,DonGia!$A$4:$D$203,2,FALSE),0))</f>
        <v/>
      </c>
      <c r="H145" s="51" t="str">
        <f>IF(C145="","",IFERROR(VLOOKUP(C145,DonGia!$A$4:$D$203,3,FALSE),0))</f>
        <v/>
      </c>
      <c r="I145" s="49" t="n"/>
      <c r="J145" s="50" t="str">
        <f>IF(C145="","",IFERROR(VLOOKUP(C145,DonGia!$A$4:$D$203,4,FALSE),0))</f>
        <v/>
      </c>
      <c r="K145" s="49" t="n"/>
      <c r="L145" s="49" t="n"/>
      <c r="M145" s="51" t="str">
        <f>IF(A145="","",E145*H145+D145*F145/60*G145+D145*I145*J145+D145*K145+D145*L145)</f>
        <v/>
      </c>
      <c r="N145" s="50">
        <f>IFERROR(M145/D145,0)</f>
        <v>0</v>
      </c>
    </row>
    <row r="146">
      <c r="A146" s="49" t="n"/>
      <c r="B146" s="49" t="n"/>
      <c r="C146" s="49" t="n"/>
      <c r="D146" s="50" t="str">
        <f>IF(A146="","",IFERROR(VLOOKUP(A146,TinhGia!$A$4:$B$53,2,FALSE),0))</f>
        <v/>
      </c>
      <c r="E146" s="49" t="n"/>
      <c r="F146" s="49" t="n"/>
      <c r="G146" s="51" t="str">
        <f>IF(C146="","",IFERROR(VLOOKUP(C146,DonGia!$A$4:$D$203,2,FALSE),0))</f>
        <v/>
      </c>
      <c r="H146" s="51" t="str">
        <f>IF(C146="","",IFERROR(VLOOKUP(C146,DonGia!$A$4:$D$203,3,FALSE),0))</f>
        <v/>
      </c>
      <c r="I146" s="49" t="n"/>
      <c r="J146" s="50" t="str">
        <f>IF(C146="","",IFERROR(VLOOKUP(C146,DonGia!$A$4:$D$203,4,FALSE),0))</f>
        <v/>
      </c>
      <c r="K146" s="49" t="n"/>
      <c r="L146" s="49" t="n"/>
      <c r="M146" s="51" t="str">
        <f>IF(A146="","",E146*H146+D146*F146/60*G146+D146*I146*J146+D146*K146+D146*L146)</f>
        <v/>
      </c>
      <c r="N146" s="50">
        <f>IFERROR(M146/D146,0)</f>
        <v>0</v>
      </c>
    </row>
    <row r="147">
      <c r="A147" s="49" t="n"/>
      <c r="B147" s="49" t="n"/>
      <c r="C147" s="49" t="n"/>
      <c r="D147" s="50" t="str">
        <f>IF(A147="","",IFERROR(VLOOKUP(A147,TinhGia!$A$4:$B$53,2,FALSE),0))</f>
        <v/>
      </c>
      <c r="E147" s="49" t="n"/>
      <c r="F147" s="49" t="n"/>
      <c r="G147" s="51" t="str">
        <f>IF(C147="","",IFERROR(VLOOKUP(C147,DonGia!$A$4:$D$203,2,FALSE),0))</f>
        <v/>
      </c>
      <c r="H147" s="51" t="str">
        <f>IF(C147="","",IFERROR(VLOOKUP(C147,DonGia!$A$4:$D$203,3,FALSE),0))</f>
        <v/>
      </c>
      <c r="I147" s="49" t="n"/>
      <c r="J147" s="50" t="str">
        <f>IF(C147="","",IFERROR(VLOOKUP(C147,DonGia!$A$4:$D$203,4,FALSE),0))</f>
        <v/>
      </c>
      <c r="K147" s="49" t="n"/>
      <c r="L147" s="49" t="n"/>
      <c r="M147" s="51" t="str">
        <f>IF(A147="","",E147*H147+D147*F147/60*G147+D147*I147*J147+D147*K147+D147*L147)</f>
        <v/>
      </c>
      <c r="N147" s="50">
        <f>IFERROR(M147/D147,0)</f>
        <v>0</v>
      </c>
    </row>
    <row r="148">
      <c r="A148" s="49" t="n"/>
      <c r="B148" s="49" t="n"/>
      <c r="C148" s="49" t="n"/>
      <c r="D148" s="50" t="str">
        <f>IF(A148="","",IFERROR(VLOOKUP(A148,TinhGia!$A$4:$B$53,2,FALSE),0))</f>
        <v/>
      </c>
      <c r="E148" s="49" t="n"/>
      <c r="F148" s="49" t="n"/>
      <c r="G148" s="51" t="str">
        <f>IF(C148="","",IFERROR(VLOOKUP(C148,DonGia!$A$4:$D$203,2,FALSE),0))</f>
        <v/>
      </c>
      <c r="H148" s="51" t="str">
        <f>IF(C148="","",IFERROR(VLOOKUP(C148,DonGia!$A$4:$D$203,3,FALSE),0))</f>
        <v/>
      </c>
      <c r="I148" s="49" t="n"/>
      <c r="J148" s="50" t="str">
        <f>IF(C148="","",IFERROR(VLOOKUP(C148,DonGia!$A$4:$D$203,4,FALSE),0))</f>
        <v/>
      </c>
      <c r="K148" s="49" t="n"/>
      <c r="L148" s="49" t="n"/>
      <c r="M148" s="51" t="str">
        <f>IF(A148="","",E148*H148+D148*F148/60*G148+D148*I148*J148+D148*K148+D148*L148)</f>
        <v/>
      </c>
      <c r="N148" s="50">
        <f>IFERROR(M148/D148,0)</f>
        <v>0</v>
      </c>
    </row>
    <row r="149">
      <c r="A149" s="49" t="n"/>
      <c r="B149" s="49" t="n"/>
      <c r="C149" s="49" t="n"/>
      <c r="D149" s="50" t="str">
        <f>IF(A149="","",IFERROR(VLOOKUP(A149,TinhGia!$A$4:$B$53,2,FALSE),0))</f>
        <v/>
      </c>
      <c r="E149" s="49" t="n"/>
      <c r="F149" s="49" t="n"/>
      <c r="G149" s="51" t="str">
        <f>IF(C149="","",IFERROR(VLOOKUP(C149,DonGia!$A$4:$D$203,2,FALSE),0))</f>
        <v/>
      </c>
      <c r="H149" s="51" t="str">
        <f>IF(C149="","",IFERROR(VLOOKUP(C149,DonGia!$A$4:$D$203,3,FALSE),0))</f>
        <v/>
      </c>
      <c r="I149" s="49" t="n"/>
      <c r="J149" s="50" t="str">
        <f>IF(C149="","",IFERROR(VLOOKUP(C149,DonGia!$A$4:$D$203,4,FALSE),0))</f>
        <v/>
      </c>
      <c r="K149" s="49" t="n"/>
      <c r="L149" s="49" t="n"/>
      <c r="M149" s="51" t="str">
        <f>IF(A149="","",E149*H149+D149*F149/60*G149+D149*I149*J149+D149*K149+D149*L149)</f>
        <v/>
      </c>
      <c r="N149" s="50">
        <f>IFERROR(M149/D149,0)</f>
        <v>0</v>
      </c>
    </row>
    <row r="150">
      <c r="A150" s="49" t="n"/>
      <c r="B150" s="49" t="n"/>
      <c r="C150" s="49" t="n"/>
      <c r="D150" s="50" t="str">
        <f>IF(A150="","",IFERROR(VLOOKUP(A150,TinhGia!$A$4:$B$53,2,FALSE),0))</f>
        <v/>
      </c>
      <c r="E150" s="49" t="n"/>
      <c r="F150" s="49" t="n"/>
      <c r="G150" s="51" t="str">
        <f>IF(C150="","",IFERROR(VLOOKUP(C150,DonGia!$A$4:$D$203,2,FALSE),0))</f>
        <v/>
      </c>
      <c r="H150" s="51" t="str">
        <f>IF(C150="","",IFERROR(VLOOKUP(C150,DonGia!$A$4:$D$203,3,FALSE),0))</f>
        <v/>
      </c>
      <c r="I150" s="49" t="n"/>
      <c r="J150" s="50" t="str">
        <f>IF(C150="","",IFERROR(VLOOKUP(C150,DonGia!$A$4:$D$203,4,FALSE),0))</f>
        <v/>
      </c>
      <c r="K150" s="49" t="n"/>
      <c r="L150" s="49" t="n"/>
      <c r="M150" s="51" t="str">
        <f>IF(A150="","",E150*H150+D150*F150/60*G150+D150*I150*J150+D150*K150+D150*L150)</f>
        <v/>
      </c>
      <c r="N150" s="50">
        <f>IFERROR(M150/D150,0)</f>
        <v>0</v>
      </c>
    </row>
    <row r="151">
      <c r="A151" s="49" t="n"/>
      <c r="B151" s="49" t="n"/>
      <c r="C151" s="49" t="n"/>
      <c r="D151" s="50" t="str">
        <f>IF(A151="","",IFERROR(VLOOKUP(A151,TinhGia!$A$4:$B$53,2,FALSE),0))</f>
        <v/>
      </c>
      <c r="E151" s="49" t="n"/>
      <c r="F151" s="49" t="n"/>
      <c r="G151" s="51" t="str">
        <f>IF(C151="","",IFERROR(VLOOKUP(C151,DonGia!$A$4:$D$203,2,FALSE),0))</f>
        <v/>
      </c>
      <c r="H151" s="51" t="str">
        <f>IF(C151="","",IFERROR(VLOOKUP(C151,DonGia!$A$4:$D$203,3,FALSE),0))</f>
        <v/>
      </c>
      <c r="I151" s="49" t="n"/>
      <c r="J151" s="50" t="str">
        <f>IF(C151="","",IFERROR(VLOOKUP(C151,DonGia!$A$4:$D$203,4,FALSE),0))</f>
        <v/>
      </c>
      <c r="K151" s="49" t="n"/>
      <c r="L151" s="49" t="n"/>
      <c r="M151" s="51" t="str">
        <f>IF(A151="","",E151*H151+D151*F151/60*G151+D151*I151*J151+D151*K151+D151*L151)</f>
        <v/>
      </c>
      <c r="N151" s="50">
        <f>IFERROR(M151/D151,0)</f>
        <v>0</v>
      </c>
    </row>
    <row r="152">
      <c r="A152" s="49" t="n"/>
      <c r="B152" s="49" t="n"/>
      <c r="C152" s="49" t="n"/>
      <c r="D152" s="50" t="str">
        <f>IF(A152="","",IFERROR(VLOOKUP(A152,TinhGia!$A$4:$B$53,2,FALSE),0))</f>
        <v/>
      </c>
      <c r="E152" s="49" t="n"/>
      <c r="F152" s="49" t="n"/>
      <c r="G152" s="51" t="str">
        <f>IF(C152="","",IFERROR(VLOOKUP(C152,DonGia!$A$4:$D$203,2,FALSE),0))</f>
        <v/>
      </c>
      <c r="H152" s="51" t="str">
        <f>IF(C152="","",IFERROR(VLOOKUP(C152,DonGia!$A$4:$D$203,3,FALSE),0))</f>
        <v/>
      </c>
      <c r="I152" s="49" t="n"/>
      <c r="J152" s="50" t="str">
        <f>IF(C152="","",IFERROR(VLOOKUP(C152,DonGia!$A$4:$D$203,4,FALSE),0))</f>
        <v/>
      </c>
      <c r="K152" s="49" t="n"/>
      <c r="L152" s="49" t="n"/>
      <c r="M152" s="51" t="str">
        <f>IF(A152="","",E152*H152+D152*F152/60*G152+D152*I152*J152+D152*K152+D152*L152)</f>
        <v/>
      </c>
      <c r="N152" s="50">
        <f>IFERROR(M152/D152,0)</f>
        <v>0</v>
      </c>
    </row>
    <row r="153">
      <c r="A153" s="49" t="n"/>
      <c r="B153" s="49" t="n"/>
      <c r="C153" s="49" t="n"/>
      <c r="D153" s="50" t="str">
        <f>IF(A153="","",IFERROR(VLOOKUP(A153,TinhGia!$A$4:$B$53,2,FALSE),0))</f>
        <v/>
      </c>
      <c r="E153" s="49" t="n"/>
      <c r="F153" s="49" t="n"/>
      <c r="G153" s="51" t="str">
        <f>IF(C153="","",IFERROR(VLOOKUP(C153,DonGia!$A$4:$D$203,2,FALSE),0))</f>
        <v/>
      </c>
      <c r="H153" s="51" t="str">
        <f>IF(C153="","",IFERROR(VLOOKUP(C153,DonGia!$A$4:$D$203,3,FALSE),0))</f>
        <v/>
      </c>
      <c r="I153" s="49" t="n"/>
      <c r="J153" s="50" t="str">
        <f>IF(C153="","",IFERROR(VLOOKUP(C153,DonGia!$A$4:$D$203,4,FALSE),0))</f>
        <v/>
      </c>
      <c r="K153" s="49" t="n"/>
      <c r="L153" s="49" t="n"/>
      <c r="M153" s="51" t="str">
        <f>IF(A153="","",E153*H153+D153*F153/60*G153+D153*I153*J153+D153*K153+D153*L153)</f>
        <v/>
      </c>
      <c r="N153" s="50">
        <f>IFERROR(M153/D153,0)</f>
        <v>0</v>
      </c>
    </row>
    <row r="154">
      <c r="A154" s="49" t="n"/>
      <c r="B154" s="49" t="n"/>
      <c r="C154" s="49" t="n"/>
      <c r="D154" s="50" t="str">
        <f>IF(A154="","",IFERROR(VLOOKUP(A154,TinhGia!$A$4:$B$53,2,FALSE),0))</f>
        <v/>
      </c>
      <c r="E154" s="49" t="n"/>
      <c r="F154" s="49" t="n"/>
      <c r="G154" s="51" t="str">
        <f>IF(C154="","",IFERROR(VLOOKUP(C154,DonGia!$A$4:$D$203,2,FALSE),0))</f>
        <v/>
      </c>
      <c r="H154" s="51" t="str">
        <f>IF(C154="","",IFERROR(VLOOKUP(C154,DonGia!$A$4:$D$203,3,FALSE),0))</f>
        <v/>
      </c>
      <c r="I154" s="49" t="n"/>
      <c r="J154" s="50" t="str">
        <f>IF(C154="","",IFERROR(VLOOKUP(C154,DonGia!$A$4:$D$203,4,FALSE),0))</f>
        <v/>
      </c>
      <c r="K154" s="49" t="n"/>
      <c r="L154" s="49" t="n"/>
      <c r="M154" s="51" t="str">
        <f>IF(A154="","",E154*H154+D154*F154/60*G154+D154*I154*J154+D154*K154+D154*L154)</f>
        <v/>
      </c>
      <c r="N154" s="50">
        <f>IFERROR(M154/D154,0)</f>
        <v>0</v>
      </c>
    </row>
    <row r="155">
      <c r="A155" s="49" t="n"/>
      <c r="B155" s="49" t="n"/>
      <c r="C155" s="49" t="n"/>
      <c r="D155" s="50" t="str">
        <f>IF(A155="","",IFERROR(VLOOKUP(A155,TinhGia!$A$4:$B$53,2,FALSE),0))</f>
        <v/>
      </c>
      <c r="E155" s="49" t="n"/>
      <c r="F155" s="49" t="n"/>
      <c r="G155" s="51" t="str">
        <f>IF(C155="","",IFERROR(VLOOKUP(C155,DonGia!$A$4:$D$203,2,FALSE),0))</f>
        <v/>
      </c>
      <c r="H155" s="51" t="str">
        <f>IF(C155="","",IFERROR(VLOOKUP(C155,DonGia!$A$4:$D$203,3,FALSE),0))</f>
        <v/>
      </c>
      <c r="I155" s="49" t="n"/>
      <c r="J155" s="50" t="str">
        <f>IF(C155="","",IFERROR(VLOOKUP(C155,DonGia!$A$4:$D$203,4,FALSE),0))</f>
        <v/>
      </c>
      <c r="K155" s="49" t="n"/>
      <c r="L155" s="49" t="n"/>
      <c r="M155" s="51" t="str">
        <f>IF(A155="","",E155*H155+D155*F155/60*G155+D155*I155*J155+D155*K155+D155*L155)</f>
        <v/>
      </c>
      <c r="N155" s="50">
        <f>IFERROR(M155/D155,0)</f>
        <v>0</v>
      </c>
    </row>
    <row r="156">
      <c r="A156" s="49" t="n"/>
      <c r="B156" s="49" t="n"/>
      <c r="C156" s="49" t="n"/>
      <c r="D156" s="50" t="str">
        <f>IF(A156="","",IFERROR(VLOOKUP(A156,TinhGia!$A$4:$B$53,2,FALSE),0))</f>
        <v/>
      </c>
      <c r="E156" s="49" t="n"/>
      <c r="F156" s="49" t="n"/>
      <c r="G156" s="51" t="str">
        <f>IF(C156="","",IFERROR(VLOOKUP(C156,DonGia!$A$4:$D$203,2,FALSE),0))</f>
        <v/>
      </c>
      <c r="H156" s="51" t="str">
        <f>IF(C156="","",IFERROR(VLOOKUP(C156,DonGia!$A$4:$D$203,3,FALSE),0))</f>
        <v/>
      </c>
      <c r="I156" s="49" t="n"/>
      <c r="J156" s="50" t="str">
        <f>IF(C156="","",IFERROR(VLOOKUP(C156,DonGia!$A$4:$D$203,4,FALSE),0))</f>
        <v/>
      </c>
      <c r="K156" s="49" t="n"/>
      <c r="L156" s="49" t="n"/>
      <c r="M156" s="51" t="str">
        <f>IF(A156="","",E156*H156+D156*F156/60*G156+D156*I156*J156+D156*K156+D156*L156)</f>
        <v/>
      </c>
      <c r="N156" s="50">
        <f>IFERROR(M156/D156,0)</f>
        <v>0</v>
      </c>
    </row>
    <row r="157">
      <c r="A157" s="49" t="n"/>
      <c r="B157" s="49" t="n"/>
      <c r="C157" s="49" t="n"/>
      <c r="D157" s="50" t="str">
        <f>IF(A157="","",IFERROR(VLOOKUP(A157,TinhGia!$A$4:$B$53,2,FALSE),0))</f>
        <v/>
      </c>
      <c r="E157" s="49" t="n"/>
      <c r="F157" s="49" t="n"/>
      <c r="G157" s="51" t="str">
        <f>IF(C157="","",IFERROR(VLOOKUP(C157,DonGia!$A$4:$D$203,2,FALSE),0))</f>
        <v/>
      </c>
      <c r="H157" s="51" t="str">
        <f>IF(C157="","",IFERROR(VLOOKUP(C157,DonGia!$A$4:$D$203,3,FALSE),0))</f>
        <v/>
      </c>
      <c r="I157" s="49" t="n"/>
      <c r="J157" s="50" t="str">
        <f>IF(C157="","",IFERROR(VLOOKUP(C157,DonGia!$A$4:$D$203,4,FALSE),0))</f>
        <v/>
      </c>
      <c r="K157" s="49" t="n"/>
      <c r="L157" s="49" t="n"/>
      <c r="M157" s="51" t="str">
        <f>IF(A157="","",E157*H157+D157*F157/60*G157+D157*I157*J157+D157*K157+D157*L157)</f>
        <v/>
      </c>
      <c r="N157" s="50">
        <f>IFERROR(M157/D157,0)</f>
        <v>0</v>
      </c>
    </row>
    <row r="158">
      <c r="A158" s="49" t="n"/>
      <c r="B158" s="49" t="n"/>
      <c r="C158" s="49" t="n"/>
      <c r="D158" s="50" t="str">
        <f>IF(A158="","",IFERROR(VLOOKUP(A158,TinhGia!$A$4:$B$53,2,FALSE),0))</f>
        <v/>
      </c>
      <c r="E158" s="49" t="n"/>
      <c r="F158" s="49" t="n"/>
      <c r="G158" s="51" t="str">
        <f>IF(C158="","",IFERROR(VLOOKUP(C158,DonGia!$A$4:$D$203,2,FALSE),0))</f>
        <v/>
      </c>
      <c r="H158" s="51" t="str">
        <f>IF(C158="","",IFERROR(VLOOKUP(C158,DonGia!$A$4:$D$203,3,FALSE),0))</f>
        <v/>
      </c>
      <c r="I158" s="49" t="n"/>
      <c r="J158" s="50" t="str">
        <f>IF(C158="","",IFERROR(VLOOKUP(C158,DonGia!$A$4:$D$203,4,FALSE),0))</f>
        <v/>
      </c>
      <c r="K158" s="49" t="n"/>
      <c r="L158" s="49" t="n"/>
      <c r="M158" s="51" t="str">
        <f>IF(A158="","",E158*H158+D158*F158/60*G158+D158*I158*J158+D158*K158+D158*L158)</f>
        <v/>
      </c>
      <c r="N158" s="50">
        <f>IFERROR(M158/D158,0)</f>
        <v>0</v>
      </c>
    </row>
    <row r="159">
      <c r="A159" s="49" t="n"/>
      <c r="B159" s="49" t="n"/>
      <c r="C159" s="49" t="n"/>
      <c r="D159" s="50" t="str">
        <f>IF(A159="","",IFERROR(VLOOKUP(A159,TinhGia!$A$4:$B$53,2,FALSE),0))</f>
        <v/>
      </c>
      <c r="E159" s="49" t="n"/>
      <c r="F159" s="49" t="n"/>
      <c r="G159" s="51" t="str">
        <f>IF(C159="","",IFERROR(VLOOKUP(C159,DonGia!$A$4:$D$203,2,FALSE),0))</f>
        <v/>
      </c>
      <c r="H159" s="51" t="str">
        <f>IF(C159="","",IFERROR(VLOOKUP(C159,DonGia!$A$4:$D$203,3,FALSE),0))</f>
        <v/>
      </c>
      <c r="I159" s="49" t="n"/>
      <c r="J159" s="50" t="str">
        <f>IF(C159="","",IFERROR(VLOOKUP(C159,DonGia!$A$4:$D$203,4,FALSE),0))</f>
        <v/>
      </c>
      <c r="K159" s="49" t="n"/>
      <c r="L159" s="49" t="n"/>
      <c r="M159" s="51" t="str">
        <f>IF(A159="","",E159*H159+D159*F159/60*G159+D159*I159*J159+D159*K159+D159*L159)</f>
        <v/>
      </c>
      <c r="N159" s="50">
        <f>IFERROR(M159/D159,0)</f>
        <v>0</v>
      </c>
    </row>
    <row r="160">
      <c r="A160" s="49" t="n"/>
      <c r="B160" s="49" t="n"/>
      <c r="C160" s="49" t="n"/>
      <c r="D160" s="50" t="str">
        <f>IF(A160="","",IFERROR(VLOOKUP(A160,TinhGia!$A$4:$B$53,2,FALSE),0))</f>
        <v/>
      </c>
      <c r="E160" s="49" t="n"/>
      <c r="F160" s="49" t="n"/>
      <c r="G160" s="51" t="str">
        <f>IF(C160="","",IFERROR(VLOOKUP(C160,DonGia!$A$4:$D$203,2,FALSE),0))</f>
        <v/>
      </c>
      <c r="H160" s="51" t="str">
        <f>IF(C160="","",IFERROR(VLOOKUP(C160,DonGia!$A$4:$D$203,3,FALSE),0))</f>
        <v/>
      </c>
      <c r="I160" s="49" t="n"/>
      <c r="J160" s="50" t="str">
        <f>IF(C160="","",IFERROR(VLOOKUP(C160,DonGia!$A$4:$D$203,4,FALSE),0))</f>
        <v/>
      </c>
      <c r="K160" s="49" t="n"/>
      <c r="L160" s="49" t="n"/>
      <c r="M160" s="51" t="str">
        <f>IF(A160="","",E160*H160+D160*F160/60*G160+D160*I160*J160+D160*K160+D160*L160)</f>
        <v/>
      </c>
      <c r="N160" s="50">
        <f>IFERROR(M160/D160,0)</f>
        <v>0</v>
      </c>
    </row>
    <row r="161">
      <c r="A161" s="49" t="n"/>
      <c r="B161" s="49" t="n"/>
      <c r="C161" s="49" t="n"/>
      <c r="D161" s="50" t="str">
        <f>IF(A161="","",IFERROR(VLOOKUP(A161,TinhGia!$A$4:$B$53,2,FALSE),0))</f>
        <v/>
      </c>
      <c r="E161" s="49" t="n"/>
      <c r="F161" s="49" t="n"/>
      <c r="G161" s="51" t="str">
        <f>IF(C161="","",IFERROR(VLOOKUP(C161,DonGia!$A$4:$D$203,2,FALSE),0))</f>
        <v/>
      </c>
      <c r="H161" s="51" t="str">
        <f>IF(C161="","",IFERROR(VLOOKUP(C161,DonGia!$A$4:$D$203,3,FALSE),0))</f>
        <v/>
      </c>
      <c r="I161" s="49" t="n"/>
      <c r="J161" s="50" t="str">
        <f>IF(C161="","",IFERROR(VLOOKUP(C161,DonGia!$A$4:$D$203,4,FALSE),0))</f>
        <v/>
      </c>
      <c r="K161" s="49" t="n"/>
      <c r="L161" s="49" t="n"/>
      <c r="M161" s="51" t="str">
        <f>IF(A161="","",E161*H161+D161*F161/60*G161+D161*I161*J161+D161*K161+D161*L161)</f>
        <v/>
      </c>
      <c r="N161" s="50">
        <f>IFERROR(M161/D161,0)</f>
        <v>0</v>
      </c>
    </row>
    <row r="162">
      <c r="A162" s="49" t="n"/>
      <c r="B162" s="49" t="n"/>
      <c r="C162" s="49" t="n"/>
      <c r="D162" s="50" t="str">
        <f>IF(A162="","",IFERROR(VLOOKUP(A162,TinhGia!$A$4:$B$53,2,FALSE),0))</f>
        <v/>
      </c>
      <c r="E162" s="49" t="n"/>
      <c r="F162" s="49" t="n"/>
      <c r="G162" s="51" t="str">
        <f>IF(C162="","",IFERROR(VLOOKUP(C162,DonGia!$A$4:$D$203,2,FALSE),0))</f>
        <v/>
      </c>
      <c r="H162" s="51" t="str">
        <f>IF(C162="","",IFERROR(VLOOKUP(C162,DonGia!$A$4:$D$203,3,FALSE),0))</f>
        <v/>
      </c>
      <c r="I162" s="49" t="n"/>
      <c r="J162" s="50" t="str">
        <f>IF(C162="","",IFERROR(VLOOKUP(C162,DonGia!$A$4:$D$203,4,FALSE),0))</f>
        <v/>
      </c>
      <c r="K162" s="49" t="n"/>
      <c r="L162" s="49" t="n"/>
      <c r="M162" s="51" t="str">
        <f>IF(A162="","",E162*H162+D162*F162/60*G162+D162*I162*J162+D162*K162+D162*L162)</f>
        <v/>
      </c>
      <c r="N162" s="50">
        <f>IFERROR(M162/D162,0)</f>
        <v>0</v>
      </c>
    </row>
    <row r="163">
      <c r="A163" s="49" t="n"/>
      <c r="B163" s="49" t="n"/>
      <c r="C163" s="49" t="n"/>
      <c r="D163" s="50" t="str">
        <f>IF(A163="","",IFERROR(VLOOKUP(A163,TinhGia!$A$4:$B$53,2,FALSE),0))</f>
        <v/>
      </c>
      <c r="E163" s="49" t="n"/>
      <c r="F163" s="49" t="n"/>
      <c r="G163" s="51" t="str">
        <f>IF(C163="","",IFERROR(VLOOKUP(C163,DonGia!$A$4:$D$203,2,FALSE),0))</f>
        <v/>
      </c>
      <c r="H163" s="51" t="str">
        <f>IF(C163="","",IFERROR(VLOOKUP(C163,DonGia!$A$4:$D$203,3,FALSE),0))</f>
        <v/>
      </c>
      <c r="I163" s="49" t="n"/>
      <c r="J163" s="50" t="str">
        <f>IF(C163="","",IFERROR(VLOOKUP(C163,DonGia!$A$4:$D$203,4,FALSE),0))</f>
        <v/>
      </c>
      <c r="K163" s="49" t="n"/>
      <c r="L163" s="49" t="n"/>
      <c r="M163" s="51" t="str">
        <f>IF(A163="","",E163*H163+D163*F163/60*G163+D163*I163*J163+D163*K163+D163*L163)</f>
        <v/>
      </c>
      <c r="N163" s="50">
        <f>IFERROR(M163/D163,0)</f>
        <v>0</v>
      </c>
    </row>
    <row r="164">
      <c r="A164" s="49" t="n"/>
      <c r="B164" s="49" t="n"/>
      <c r="C164" s="49" t="n"/>
      <c r="D164" s="50" t="str">
        <f>IF(A164="","",IFERROR(VLOOKUP(A164,TinhGia!$A$4:$B$53,2,FALSE),0))</f>
        <v/>
      </c>
      <c r="E164" s="49" t="n"/>
      <c r="F164" s="49" t="n"/>
      <c r="G164" s="51" t="str">
        <f>IF(C164="","",IFERROR(VLOOKUP(C164,DonGia!$A$4:$D$203,2,FALSE),0))</f>
        <v/>
      </c>
      <c r="H164" s="51" t="str">
        <f>IF(C164="","",IFERROR(VLOOKUP(C164,DonGia!$A$4:$D$203,3,FALSE),0))</f>
        <v/>
      </c>
      <c r="I164" s="49" t="n"/>
      <c r="J164" s="50" t="str">
        <f>IF(C164="","",IFERROR(VLOOKUP(C164,DonGia!$A$4:$D$203,4,FALSE),0))</f>
        <v/>
      </c>
      <c r="K164" s="49" t="n"/>
      <c r="L164" s="49" t="n"/>
      <c r="M164" s="51" t="str">
        <f>IF(A164="","",E164*H164+D164*F164/60*G164+D164*I164*J164+D164*K164+D164*L164)</f>
        <v/>
      </c>
      <c r="N164" s="50">
        <f>IFERROR(M164/D164,0)</f>
        <v>0</v>
      </c>
    </row>
    <row r="165">
      <c r="A165" s="49" t="n"/>
      <c r="B165" s="49" t="n"/>
      <c r="C165" s="49" t="n"/>
      <c r="D165" s="50" t="str">
        <f>IF(A165="","",IFERROR(VLOOKUP(A165,TinhGia!$A$4:$B$53,2,FALSE),0))</f>
        <v/>
      </c>
      <c r="E165" s="49" t="n"/>
      <c r="F165" s="49" t="n"/>
      <c r="G165" s="51" t="str">
        <f>IF(C165="","",IFERROR(VLOOKUP(C165,DonGia!$A$4:$D$203,2,FALSE),0))</f>
        <v/>
      </c>
      <c r="H165" s="51" t="str">
        <f>IF(C165="","",IFERROR(VLOOKUP(C165,DonGia!$A$4:$D$203,3,FALSE),0))</f>
        <v/>
      </c>
      <c r="I165" s="49" t="n"/>
      <c r="J165" s="50" t="str">
        <f>IF(C165="","",IFERROR(VLOOKUP(C165,DonGia!$A$4:$D$203,4,FALSE),0))</f>
        <v/>
      </c>
      <c r="K165" s="49" t="n"/>
      <c r="L165" s="49" t="n"/>
      <c r="M165" s="51" t="str">
        <f>IF(A165="","",E165*H165+D165*F165/60*G165+D165*I165*J165+D165*K165+D165*L165)</f>
        <v/>
      </c>
      <c r="N165" s="50">
        <f>IFERROR(M165/D165,0)</f>
        <v>0</v>
      </c>
    </row>
    <row r="166">
      <c r="A166" s="49" t="n"/>
      <c r="B166" s="49" t="n"/>
      <c r="C166" s="49" t="n"/>
      <c r="D166" s="50" t="str">
        <f>IF(A166="","",IFERROR(VLOOKUP(A166,TinhGia!$A$4:$B$53,2,FALSE),0))</f>
        <v/>
      </c>
      <c r="E166" s="49" t="n"/>
      <c r="F166" s="49" t="n"/>
      <c r="G166" s="51" t="str">
        <f>IF(C166="","",IFERROR(VLOOKUP(C166,DonGia!$A$4:$D$203,2,FALSE),0))</f>
        <v/>
      </c>
      <c r="H166" s="51" t="str">
        <f>IF(C166="","",IFERROR(VLOOKUP(C166,DonGia!$A$4:$D$203,3,FALSE),0))</f>
        <v/>
      </c>
      <c r="I166" s="49" t="n"/>
      <c r="J166" s="50" t="str">
        <f>IF(C166="","",IFERROR(VLOOKUP(C166,DonGia!$A$4:$D$203,4,FALSE),0))</f>
        <v/>
      </c>
      <c r="K166" s="49" t="n"/>
      <c r="L166" s="49" t="n"/>
      <c r="M166" s="51" t="str">
        <f>IF(A166="","",E166*H166+D166*F166/60*G166+D166*I166*J166+D166*K166+D166*L166)</f>
        <v/>
      </c>
      <c r="N166" s="50">
        <f>IFERROR(M166/D166,0)</f>
        <v>0</v>
      </c>
    </row>
    <row r="167">
      <c r="A167" s="49" t="n"/>
      <c r="B167" s="49" t="n"/>
      <c r="C167" s="49" t="n"/>
      <c r="D167" s="50" t="str">
        <f>IF(A167="","",IFERROR(VLOOKUP(A167,TinhGia!$A$4:$B$53,2,FALSE),0))</f>
        <v/>
      </c>
      <c r="E167" s="49" t="n"/>
      <c r="F167" s="49" t="n"/>
      <c r="G167" s="51" t="str">
        <f>IF(C167="","",IFERROR(VLOOKUP(C167,DonGia!$A$4:$D$203,2,FALSE),0))</f>
        <v/>
      </c>
      <c r="H167" s="51" t="str">
        <f>IF(C167="","",IFERROR(VLOOKUP(C167,DonGia!$A$4:$D$203,3,FALSE),0))</f>
        <v/>
      </c>
      <c r="I167" s="49" t="n"/>
      <c r="J167" s="50" t="str">
        <f>IF(C167="","",IFERROR(VLOOKUP(C167,DonGia!$A$4:$D$203,4,FALSE),0))</f>
        <v/>
      </c>
      <c r="K167" s="49" t="n"/>
      <c r="L167" s="49" t="n"/>
      <c r="M167" s="51" t="str">
        <f>IF(A167="","",E167*H167+D167*F167/60*G167+D167*I167*J167+D167*K167+D167*L167)</f>
        <v/>
      </c>
      <c r="N167" s="50">
        <f>IFERROR(M167/D167,0)</f>
        <v>0</v>
      </c>
    </row>
    <row r="168">
      <c r="A168" s="49" t="n"/>
      <c r="B168" s="49" t="n"/>
      <c r="C168" s="49" t="n"/>
      <c r="D168" s="50" t="str">
        <f>IF(A168="","",IFERROR(VLOOKUP(A168,TinhGia!$A$4:$B$53,2,FALSE),0))</f>
        <v/>
      </c>
      <c r="E168" s="49" t="n"/>
      <c r="F168" s="49" t="n"/>
      <c r="G168" s="51" t="str">
        <f>IF(C168="","",IFERROR(VLOOKUP(C168,DonGia!$A$4:$D$203,2,FALSE),0))</f>
        <v/>
      </c>
      <c r="H168" s="51" t="str">
        <f>IF(C168="","",IFERROR(VLOOKUP(C168,DonGia!$A$4:$D$203,3,FALSE),0))</f>
        <v/>
      </c>
      <c r="I168" s="49" t="n"/>
      <c r="J168" s="50" t="str">
        <f>IF(C168="","",IFERROR(VLOOKUP(C168,DonGia!$A$4:$D$203,4,FALSE),0))</f>
        <v/>
      </c>
      <c r="K168" s="49" t="n"/>
      <c r="L168" s="49" t="n"/>
      <c r="M168" s="51" t="str">
        <f>IF(A168="","",E168*H168+D168*F168/60*G168+D168*I168*J168+D168*K168+D168*L168)</f>
        <v/>
      </c>
      <c r="N168" s="50">
        <f>IFERROR(M168/D168,0)</f>
        <v>0</v>
      </c>
    </row>
    <row r="169">
      <c r="A169" s="49" t="n"/>
      <c r="B169" s="49" t="n"/>
      <c r="C169" s="49" t="n"/>
      <c r="D169" s="50" t="str">
        <f>IF(A169="","",IFERROR(VLOOKUP(A169,TinhGia!$A$4:$B$53,2,FALSE),0))</f>
        <v/>
      </c>
      <c r="E169" s="49" t="n"/>
      <c r="F169" s="49" t="n"/>
      <c r="G169" s="51" t="str">
        <f>IF(C169="","",IFERROR(VLOOKUP(C169,DonGia!$A$4:$D$203,2,FALSE),0))</f>
        <v/>
      </c>
      <c r="H169" s="51" t="str">
        <f>IF(C169="","",IFERROR(VLOOKUP(C169,DonGia!$A$4:$D$203,3,FALSE),0))</f>
        <v/>
      </c>
      <c r="I169" s="49" t="n"/>
      <c r="J169" s="50" t="str">
        <f>IF(C169="","",IFERROR(VLOOKUP(C169,DonGia!$A$4:$D$203,4,FALSE),0))</f>
        <v/>
      </c>
      <c r="K169" s="49" t="n"/>
      <c r="L169" s="49" t="n"/>
      <c r="M169" s="51" t="str">
        <f>IF(A169="","",E169*H169+D169*F169/60*G169+D169*I169*J169+D169*K169+D169*L169)</f>
        <v/>
      </c>
      <c r="N169" s="50">
        <f>IFERROR(M169/D169,0)</f>
        <v>0</v>
      </c>
    </row>
    <row r="170">
      <c r="A170" s="49" t="n"/>
      <c r="B170" s="49" t="n"/>
      <c r="C170" s="49" t="n"/>
      <c r="D170" s="50" t="str">
        <f>IF(A170="","",IFERROR(VLOOKUP(A170,TinhGia!$A$4:$B$53,2,FALSE),0))</f>
        <v/>
      </c>
      <c r="E170" s="49" t="n"/>
      <c r="F170" s="49" t="n"/>
      <c r="G170" s="51" t="str">
        <f>IF(C170="","",IFERROR(VLOOKUP(C170,DonGia!$A$4:$D$203,2,FALSE),0))</f>
        <v/>
      </c>
      <c r="H170" s="51" t="str">
        <f>IF(C170="","",IFERROR(VLOOKUP(C170,DonGia!$A$4:$D$203,3,FALSE),0))</f>
        <v/>
      </c>
      <c r="I170" s="49" t="n"/>
      <c r="J170" s="50" t="str">
        <f>IF(C170="","",IFERROR(VLOOKUP(C170,DonGia!$A$4:$D$203,4,FALSE),0))</f>
        <v/>
      </c>
      <c r="K170" s="49" t="n"/>
      <c r="L170" s="49" t="n"/>
      <c r="M170" s="51" t="str">
        <f>IF(A170="","",E170*H170+D170*F170/60*G170+D170*I170*J170+D170*K170+D170*L170)</f>
        <v/>
      </c>
      <c r="N170" s="50">
        <f>IFERROR(M170/D170,0)</f>
        <v>0</v>
      </c>
    </row>
    <row r="171">
      <c r="A171" s="49" t="n"/>
      <c r="B171" s="49" t="n"/>
      <c r="C171" s="49" t="n"/>
      <c r="D171" s="50" t="str">
        <f>IF(A171="","",IFERROR(VLOOKUP(A171,TinhGia!$A$4:$B$53,2,FALSE),0))</f>
        <v/>
      </c>
      <c r="E171" s="49" t="n"/>
      <c r="F171" s="49" t="n"/>
      <c r="G171" s="51" t="str">
        <f>IF(C171="","",IFERROR(VLOOKUP(C171,DonGia!$A$4:$D$203,2,FALSE),0))</f>
        <v/>
      </c>
      <c r="H171" s="51" t="str">
        <f>IF(C171="","",IFERROR(VLOOKUP(C171,DonGia!$A$4:$D$203,3,FALSE),0))</f>
        <v/>
      </c>
      <c r="I171" s="49" t="n"/>
      <c r="J171" s="50" t="str">
        <f>IF(C171="","",IFERROR(VLOOKUP(C171,DonGia!$A$4:$D$203,4,FALSE),0))</f>
        <v/>
      </c>
      <c r="K171" s="49" t="n"/>
      <c r="L171" s="49" t="n"/>
      <c r="M171" s="51" t="str">
        <f>IF(A171="","",E171*H171+D171*F171/60*G171+D171*I171*J171+D171*K171+D171*L171)</f>
        <v/>
      </c>
      <c r="N171" s="50">
        <f>IFERROR(M171/D171,0)</f>
        <v>0</v>
      </c>
    </row>
    <row r="172">
      <c r="A172" s="49" t="n"/>
      <c r="B172" s="49" t="n"/>
      <c r="C172" s="49" t="n"/>
      <c r="D172" s="50" t="str">
        <f>IF(A172="","",IFERROR(VLOOKUP(A172,TinhGia!$A$4:$B$53,2,FALSE),0))</f>
        <v/>
      </c>
      <c r="E172" s="49" t="n"/>
      <c r="F172" s="49" t="n"/>
      <c r="G172" s="51" t="str">
        <f>IF(C172="","",IFERROR(VLOOKUP(C172,DonGia!$A$4:$D$203,2,FALSE),0))</f>
        <v/>
      </c>
      <c r="H172" s="51" t="str">
        <f>IF(C172="","",IFERROR(VLOOKUP(C172,DonGia!$A$4:$D$203,3,FALSE),0))</f>
        <v/>
      </c>
      <c r="I172" s="49" t="n"/>
      <c r="J172" s="50" t="str">
        <f>IF(C172="","",IFERROR(VLOOKUP(C172,DonGia!$A$4:$D$203,4,FALSE),0))</f>
        <v/>
      </c>
      <c r="K172" s="49" t="n"/>
      <c r="L172" s="49" t="n"/>
      <c r="M172" s="51" t="str">
        <f>IF(A172="","",E172*H172+D172*F172/60*G172+D172*I172*J172+D172*K172+D172*L172)</f>
        <v/>
      </c>
      <c r="N172" s="50">
        <f>IFERROR(M172/D172,0)</f>
        <v>0</v>
      </c>
    </row>
    <row r="173">
      <c r="A173" s="49" t="n"/>
      <c r="B173" s="49" t="n"/>
      <c r="C173" s="49" t="n"/>
      <c r="D173" s="50" t="str">
        <f>IF(A173="","",IFERROR(VLOOKUP(A173,TinhGia!$A$4:$B$53,2,FALSE),0))</f>
        <v/>
      </c>
      <c r="E173" s="49" t="n"/>
      <c r="F173" s="49" t="n"/>
      <c r="G173" s="51" t="str">
        <f>IF(C173="","",IFERROR(VLOOKUP(C173,DonGia!$A$4:$D$203,2,FALSE),0))</f>
        <v/>
      </c>
      <c r="H173" s="51" t="str">
        <f>IF(C173="","",IFERROR(VLOOKUP(C173,DonGia!$A$4:$D$203,3,FALSE),0))</f>
        <v/>
      </c>
      <c r="I173" s="49" t="n"/>
      <c r="J173" s="50" t="str">
        <f>IF(C173="","",IFERROR(VLOOKUP(C173,DonGia!$A$4:$D$203,4,FALSE),0))</f>
        <v/>
      </c>
      <c r="K173" s="49" t="n"/>
      <c r="L173" s="49" t="n"/>
      <c r="M173" s="51" t="str">
        <f>IF(A173="","",E173*H173+D173*F173/60*G173+D173*I173*J173+D173*K173+D173*L173)</f>
        <v/>
      </c>
      <c r="N173" s="50">
        <f>IFERROR(M173/D173,0)</f>
        <v>0</v>
      </c>
    </row>
    <row r="174">
      <c r="A174" s="49" t="n"/>
      <c r="B174" s="49" t="n"/>
      <c r="C174" s="49" t="n"/>
      <c r="D174" s="50" t="str">
        <f>IF(A174="","",IFERROR(VLOOKUP(A174,TinhGia!$A$4:$B$53,2,FALSE),0))</f>
        <v/>
      </c>
      <c r="E174" s="49" t="n"/>
      <c r="F174" s="49" t="n"/>
      <c r="G174" s="51" t="str">
        <f>IF(C174="","",IFERROR(VLOOKUP(C174,DonGia!$A$4:$D$203,2,FALSE),0))</f>
        <v/>
      </c>
      <c r="H174" s="51" t="str">
        <f>IF(C174="","",IFERROR(VLOOKUP(C174,DonGia!$A$4:$D$203,3,FALSE),0))</f>
        <v/>
      </c>
      <c r="I174" s="49" t="n"/>
      <c r="J174" s="50" t="str">
        <f>IF(C174="","",IFERROR(VLOOKUP(C174,DonGia!$A$4:$D$203,4,FALSE),0))</f>
        <v/>
      </c>
      <c r="K174" s="49" t="n"/>
      <c r="L174" s="49" t="n"/>
      <c r="M174" s="51" t="str">
        <f>IF(A174="","",E174*H174+D174*F174/60*G174+D174*I174*J174+D174*K174+D174*L174)</f>
        <v/>
      </c>
      <c r="N174" s="50">
        <f>IFERROR(M174/D174,0)</f>
        <v>0</v>
      </c>
    </row>
    <row r="175">
      <c r="A175" s="49" t="n"/>
      <c r="B175" s="49" t="n"/>
      <c r="C175" s="49" t="n"/>
      <c r="D175" s="50" t="str">
        <f>IF(A175="","",IFERROR(VLOOKUP(A175,TinhGia!$A$4:$B$53,2,FALSE),0))</f>
        <v/>
      </c>
      <c r="E175" s="49" t="n"/>
      <c r="F175" s="49" t="n"/>
      <c r="G175" s="51" t="str">
        <f>IF(C175="","",IFERROR(VLOOKUP(C175,DonGia!$A$4:$D$203,2,FALSE),0))</f>
        <v/>
      </c>
      <c r="H175" s="51" t="str">
        <f>IF(C175="","",IFERROR(VLOOKUP(C175,DonGia!$A$4:$D$203,3,FALSE),0))</f>
        <v/>
      </c>
      <c r="I175" s="49" t="n"/>
      <c r="J175" s="50" t="str">
        <f>IF(C175="","",IFERROR(VLOOKUP(C175,DonGia!$A$4:$D$203,4,FALSE),0))</f>
        <v/>
      </c>
      <c r="K175" s="49" t="n"/>
      <c r="L175" s="49" t="n"/>
      <c r="M175" s="51" t="str">
        <f>IF(A175="","",E175*H175+D175*F175/60*G175+D175*I175*J175+D175*K175+D175*L175)</f>
        <v/>
      </c>
      <c r="N175" s="50">
        <f>IFERROR(M175/D175,0)</f>
        <v>0</v>
      </c>
    </row>
    <row r="176">
      <c r="A176" s="49" t="n"/>
      <c r="B176" s="49" t="n"/>
      <c r="C176" s="49" t="n"/>
      <c r="D176" s="50" t="str">
        <f>IF(A176="","",IFERROR(VLOOKUP(A176,TinhGia!$A$4:$B$53,2,FALSE),0))</f>
        <v/>
      </c>
      <c r="E176" s="49" t="n"/>
      <c r="F176" s="49" t="n"/>
      <c r="G176" s="51" t="str">
        <f>IF(C176="","",IFERROR(VLOOKUP(C176,DonGia!$A$4:$D$203,2,FALSE),0))</f>
        <v/>
      </c>
      <c r="H176" s="51" t="str">
        <f>IF(C176="","",IFERROR(VLOOKUP(C176,DonGia!$A$4:$D$203,3,FALSE),0))</f>
        <v/>
      </c>
      <c r="I176" s="49" t="n"/>
      <c r="J176" s="50" t="str">
        <f>IF(C176="","",IFERROR(VLOOKUP(C176,DonGia!$A$4:$D$203,4,FALSE),0))</f>
        <v/>
      </c>
      <c r="K176" s="49" t="n"/>
      <c r="L176" s="49" t="n"/>
      <c r="M176" s="51" t="str">
        <f>IF(A176="","",E176*H176+D176*F176/60*G176+D176*I176*J176+D176*K176+D176*L176)</f>
        <v/>
      </c>
      <c r="N176" s="50">
        <f>IFERROR(M176/D176,0)</f>
        <v>0</v>
      </c>
    </row>
    <row r="177">
      <c r="A177" s="49" t="n"/>
      <c r="B177" s="49" t="n"/>
      <c r="C177" s="49" t="n"/>
      <c r="D177" s="50" t="str">
        <f>IF(A177="","",IFERROR(VLOOKUP(A177,TinhGia!$A$4:$B$53,2,FALSE),0))</f>
        <v/>
      </c>
      <c r="E177" s="49" t="n"/>
      <c r="F177" s="49" t="n"/>
      <c r="G177" s="51" t="str">
        <f>IF(C177="","",IFERROR(VLOOKUP(C177,DonGia!$A$4:$D$203,2,FALSE),0))</f>
        <v/>
      </c>
      <c r="H177" s="51" t="str">
        <f>IF(C177="","",IFERROR(VLOOKUP(C177,DonGia!$A$4:$D$203,3,FALSE),0))</f>
        <v/>
      </c>
      <c r="I177" s="49" t="n"/>
      <c r="J177" s="50" t="str">
        <f>IF(C177="","",IFERROR(VLOOKUP(C177,DonGia!$A$4:$D$203,4,FALSE),0))</f>
        <v/>
      </c>
      <c r="K177" s="49" t="n"/>
      <c r="L177" s="49" t="n"/>
      <c r="M177" s="51" t="str">
        <f>IF(A177="","",E177*H177+D177*F177/60*G177+D177*I177*J177+D177*K177+D177*L177)</f>
        <v/>
      </c>
      <c r="N177" s="50">
        <f>IFERROR(M177/D177,0)</f>
        <v>0</v>
      </c>
    </row>
    <row r="178">
      <c r="A178" s="49" t="n"/>
      <c r="B178" s="49" t="n"/>
      <c r="C178" s="49" t="n"/>
      <c r="D178" s="50" t="str">
        <f>IF(A178="","",IFERROR(VLOOKUP(A178,TinhGia!$A$4:$B$53,2,FALSE),0))</f>
        <v/>
      </c>
      <c r="E178" s="49" t="n"/>
      <c r="F178" s="49" t="n"/>
      <c r="G178" s="51" t="str">
        <f>IF(C178="","",IFERROR(VLOOKUP(C178,DonGia!$A$4:$D$203,2,FALSE),0))</f>
        <v/>
      </c>
      <c r="H178" s="51" t="str">
        <f>IF(C178="","",IFERROR(VLOOKUP(C178,DonGia!$A$4:$D$203,3,FALSE),0))</f>
        <v/>
      </c>
      <c r="I178" s="49" t="n"/>
      <c r="J178" s="50" t="str">
        <f>IF(C178="","",IFERROR(VLOOKUP(C178,DonGia!$A$4:$D$203,4,FALSE),0))</f>
        <v/>
      </c>
      <c r="K178" s="49" t="n"/>
      <c r="L178" s="49" t="n"/>
      <c r="M178" s="51" t="str">
        <f>IF(A178="","",E178*H178+D178*F178/60*G178+D178*I178*J178+D178*K178+D178*L178)</f>
        <v/>
      </c>
      <c r="N178" s="50">
        <f>IFERROR(M178/D178,0)</f>
        <v>0</v>
      </c>
    </row>
    <row r="179">
      <c r="A179" s="49" t="n"/>
      <c r="B179" s="49" t="n"/>
      <c r="C179" s="49" t="n"/>
      <c r="D179" s="50" t="str">
        <f>IF(A179="","",IFERROR(VLOOKUP(A179,TinhGia!$A$4:$B$53,2,FALSE),0))</f>
        <v/>
      </c>
      <c r="E179" s="49" t="n"/>
      <c r="F179" s="49" t="n"/>
      <c r="G179" s="51" t="str">
        <f>IF(C179="","",IFERROR(VLOOKUP(C179,DonGia!$A$4:$D$203,2,FALSE),0))</f>
        <v/>
      </c>
      <c r="H179" s="51" t="str">
        <f>IF(C179="","",IFERROR(VLOOKUP(C179,DonGia!$A$4:$D$203,3,FALSE),0))</f>
        <v/>
      </c>
      <c r="I179" s="49" t="n"/>
      <c r="J179" s="50" t="str">
        <f>IF(C179="","",IFERROR(VLOOKUP(C179,DonGia!$A$4:$D$203,4,FALSE),0))</f>
        <v/>
      </c>
      <c r="K179" s="49" t="n"/>
      <c r="L179" s="49" t="n"/>
      <c r="M179" s="51" t="str">
        <f>IF(A179="","",E179*H179+D179*F179/60*G179+D179*I179*J179+D179*K179+D179*L179)</f>
        <v/>
      </c>
      <c r="N179" s="50">
        <f>IFERROR(M179/D179,0)</f>
        <v>0</v>
      </c>
    </row>
    <row r="180">
      <c r="A180" s="49" t="n"/>
      <c r="B180" s="49" t="n"/>
      <c r="C180" s="49" t="n"/>
      <c r="D180" s="50" t="str">
        <f>IF(A180="","",IFERROR(VLOOKUP(A180,TinhGia!$A$4:$B$53,2,FALSE),0))</f>
        <v/>
      </c>
      <c r="E180" s="49" t="n"/>
      <c r="F180" s="49" t="n"/>
      <c r="G180" s="51" t="str">
        <f>IF(C180="","",IFERROR(VLOOKUP(C180,DonGia!$A$4:$D$203,2,FALSE),0))</f>
        <v/>
      </c>
      <c r="H180" s="51" t="str">
        <f>IF(C180="","",IFERROR(VLOOKUP(C180,DonGia!$A$4:$D$203,3,FALSE),0))</f>
        <v/>
      </c>
      <c r="I180" s="49" t="n"/>
      <c r="J180" s="50" t="str">
        <f>IF(C180="","",IFERROR(VLOOKUP(C180,DonGia!$A$4:$D$203,4,FALSE),0))</f>
        <v/>
      </c>
      <c r="K180" s="49" t="n"/>
      <c r="L180" s="49" t="n"/>
      <c r="M180" s="51" t="str">
        <f>IF(A180="","",E180*H180+D180*F180/60*G180+D180*I180*J180+D180*K180+D180*L180)</f>
        <v/>
      </c>
      <c r="N180" s="50">
        <f>IFERROR(M180/D180,0)</f>
        <v>0</v>
      </c>
    </row>
    <row r="181">
      <c r="A181" s="49" t="n"/>
      <c r="B181" s="49" t="n"/>
      <c r="C181" s="49" t="n"/>
      <c r="D181" s="50" t="str">
        <f>IF(A181="","",IFERROR(VLOOKUP(A181,TinhGia!$A$4:$B$53,2,FALSE),0))</f>
        <v/>
      </c>
      <c r="E181" s="49" t="n"/>
      <c r="F181" s="49" t="n"/>
      <c r="G181" s="51" t="str">
        <f>IF(C181="","",IFERROR(VLOOKUP(C181,DonGia!$A$4:$D$203,2,FALSE),0))</f>
        <v/>
      </c>
      <c r="H181" s="51" t="str">
        <f>IF(C181="","",IFERROR(VLOOKUP(C181,DonGia!$A$4:$D$203,3,FALSE),0))</f>
        <v/>
      </c>
      <c r="I181" s="49" t="n"/>
      <c r="J181" s="50" t="str">
        <f>IF(C181="","",IFERROR(VLOOKUP(C181,DonGia!$A$4:$D$203,4,FALSE),0))</f>
        <v/>
      </c>
      <c r="K181" s="49" t="n"/>
      <c r="L181" s="49" t="n"/>
      <c r="M181" s="51" t="str">
        <f>IF(A181="","",E181*H181+D181*F181/60*G181+D181*I181*J181+D181*K181+D181*L181)</f>
        <v/>
      </c>
      <c r="N181" s="50">
        <f>IFERROR(M181/D181,0)</f>
        <v>0</v>
      </c>
    </row>
    <row r="182">
      <c r="A182" s="49" t="n"/>
      <c r="B182" s="49" t="n"/>
      <c r="C182" s="49" t="n"/>
      <c r="D182" s="50" t="str">
        <f>IF(A182="","",IFERROR(VLOOKUP(A182,TinhGia!$A$4:$B$53,2,FALSE),0))</f>
        <v/>
      </c>
      <c r="E182" s="49" t="n"/>
      <c r="F182" s="49" t="n"/>
      <c r="G182" s="51" t="str">
        <f>IF(C182="","",IFERROR(VLOOKUP(C182,DonGia!$A$4:$D$203,2,FALSE),0))</f>
        <v/>
      </c>
      <c r="H182" s="51" t="str">
        <f>IF(C182="","",IFERROR(VLOOKUP(C182,DonGia!$A$4:$D$203,3,FALSE),0))</f>
        <v/>
      </c>
      <c r="I182" s="49" t="n"/>
      <c r="J182" s="50" t="str">
        <f>IF(C182="","",IFERROR(VLOOKUP(C182,DonGia!$A$4:$D$203,4,FALSE),0))</f>
        <v/>
      </c>
      <c r="K182" s="49" t="n"/>
      <c r="L182" s="49" t="n"/>
      <c r="M182" s="51" t="str">
        <f>IF(A182="","",E182*H182+D182*F182/60*G182+D182*I182*J182+D182*K182+D182*L182)</f>
        <v/>
      </c>
      <c r="N182" s="50">
        <f>IFERROR(M182/D182,0)</f>
        <v>0</v>
      </c>
    </row>
    <row r="183">
      <c r="A183" s="49" t="n"/>
      <c r="B183" s="49" t="n"/>
      <c r="C183" s="49" t="n"/>
      <c r="D183" s="50" t="str">
        <f>IF(A183="","",IFERROR(VLOOKUP(A183,TinhGia!$A$4:$B$53,2,FALSE),0))</f>
        <v/>
      </c>
      <c r="E183" s="49" t="n"/>
      <c r="F183" s="49" t="n"/>
      <c r="G183" s="51" t="str">
        <f>IF(C183="","",IFERROR(VLOOKUP(C183,DonGia!$A$4:$D$203,2,FALSE),0))</f>
        <v/>
      </c>
      <c r="H183" s="51" t="str">
        <f>IF(C183="","",IFERROR(VLOOKUP(C183,DonGia!$A$4:$D$203,3,FALSE),0))</f>
        <v/>
      </c>
      <c r="I183" s="49" t="n"/>
      <c r="J183" s="50" t="str">
        <f>IF(C183="","",IFERROR(VLOOKUP(C183,DonGia!$A$4:$D$203,4,FALSE),0))</f>
        <v/>
      </c>
      <c r="K183" s="49" t="n"/>
      <c r="L183" s="49" t="n"/>
      <c r="M183" s="51" t="str">
        <f>IF(A183="","",E183*H183+D183*F183/60*G183+D183*I183*J183+D183*K183+D183*L183)</f>
        <v/>
      </c>
      <c r="N183" s="50">
        <f>IFERROR(M183/D183,0)</f>
        <v>0</v>
      </c>
    </row>
    <row r="184">
      <c r="A184" s="49" t="n"/>
      <c r="B184" s="49" t="n"/>
      <c r="C184" s="49" t="n"/>
      <c r="D184" s="50" t="str">
        <f>IF(A184="","",IFERROR(VLOOKUP(A184,TinhGia!$A$4:$B$53,2,FALSE),0))</f>
        <v/>
      </c>
      <c r="E184" s="49" t="n"/>
      <c r="F184" s="49" t="n"/>
      <c r="G184" s="51" t="str">
        <f>IF(C184="","",IFERROR(VLOOKUP(C184,DonGia!$A$4:$D$203,2,FALSE),0))</f>
        <v/>
      </c>
      <c r="H184" s="51" t="str">
        <f>IF(C184="","",IFERROR(VLOOKUP(C184,DonGia!$A$4:$D$203,3,FALSE),0))</f>
        <v/>
      </c>
      <c r="I184" s="49" t="n"/>
      <c r="J184" s="50" t="str">
        <f>IF(C184="","",IFERROR(VLOOKUP(C184,DonGia!$A$4:$D$203,4,FALSE),0))</f>
        <v/>
      </c>
      <c r="K184" s="49" t="n"/>
      <c r="L184" s="49" t="n"/>
      <c r="M184" s="51" t="str">
        <f>IF(A184="","",E184*H184+D184*F184/60*G184+D184*I184*J184+D184*K184+D184*L184)</f>
        <v/>
      </c>
      <c r="N184" s="50">
        <f>IFERROR(M184/D184,0)</f>
        <v>0</v>
      </c>
    </row>
    <row r="185">
      <c r="A185" s="49" t="n"/>
      <c r="B185" s="49" t="n"/>
      <c r="C185" s="49" t="n"/>
      <c r="D185" s="50" t="str">
        <f>IF(A185="","",IFERROR(VLOOKUP(A185,TinhGia!$A$4:$B$53,2,FALSE),0))</f>
        <v/>
      </c>
      <c r="E185" s="49" t="n"/>
      <c r="F185" s="49" t="n"/>
      <c r="G185" s="51" t="str">
        <f>IF(C185="","",IFERROR(VLOOKUP(C185,DonGia!$A$4:$D$203,2,FALSE),0))</f>
        <v/>
      </c>
      <c r="H185" s="51" t="str">
        <f>IF(C185="","",IFERROR(VLOOKUP(C185,DonGia!$A$4:$D$203,3,FALSE),0))</f>
        <v/>
      </c>
      <c r="I185" s="49" t="n"/>
      <c r="J185" s="50" t="str">
        <f>IF(C185="","",IFERROR(VLOOKUP(C185,DonGia!$A$4:$D$203,4,FALSE),0))</f>
        <v/>
      </c>
      <c r="K185" s="49" t="n"/>
      <c r="L185" s="49" t="n"/>
      <c r="M185" s="51" t="str">
        <f>IF(A185="","",E185*H185+D185*F185/60*G185+D185*I185*J185+D185*K185+D185*L185)</f>
        <v/>
      </c>
      <c r="N185" s="50">
        <f>IFERROR(M185/D185,0)</f>
        <v>0</v>
      </c>
    </row>
    <row r="186">
      <c r="A186" s="49" t="n"/>
      <c r="B186" s="49" t="n"/>
      <c r="C186" s="49" t="n"/>
      <c r="D186" s="50" t="str">
        <f>IF(A186="","",IFERROR(VLOOKUP(A186,TinhGia!$A$4:$B$53,2,FALSE),0))</f>
        <v/>
      </c>
      <c r="E186" s="49" t="n"/>
      <c r="F186" s="49" t="n"/>
      <c r="G186" s="51" t="str">
        <f>IF(C186="","",IFERROR(VLOOKUP(C186,DonGia!$A$4:$D$203,2,FALSE),0))</f>
        <v/>
      </c>
      <c r="H186" s="51" t="str">
        <f>IF(C186="","",IFERROR(VLOOKUP(C186,DonGia!$A$4:$D$203,3,FALSE),0))</f>
        <v/>
      </c>
      <c r="I186" s="49" t="n"/>
      <c r="J186" s="50" t="str">
        <f>IF(C186="","",IFERROR(VLOOKUP(C186,DonGia!$A$4:$D$203,4,FALSE),0))</f>
        <v/>
      </c>
      <c r="K186" s="49" t="n"/>
      <c r="L186" s="49" t="n"/>
      <c r="M186" s="51" t="str">
        <f>IF(A186="","",E186*H186+D186*F186/60*G186+D186*I186*J186+D186*K186+D186*L186)</f>
        <v/>
      </c>
      <c r="N186" s="50">
        <f>IFERROR(M186/D186,0)</f>
        <v>0</v>
      </c>
    </row>
    <row r="187">
      <c r="A187" s="49" t="n"/>
      <c r="B187" s="49" t="n"/>
      <c r="C187" s="49" t="n"/>
      <c r="D187" s="50" t="str">
        <f>IF(A187="","",IFERROR(VLOOKUP(A187,TinhGia!$A$4:$B$53,2,FALSE),0))</f>
        <v/>
      </c>
      <c r="E187" s="49" t="n"/>
      <c r="F187" s="49" t="n"/>
      <c r="G187" s="51" t="str">
        <f>IF(C187="","",IFERROR(VLOOKUP(C187,DonGia!$A$4:$D$203,2,FALSE),0))</f>
        <v/>
      </c>
      <c r="H187" s="51" t="str">
        <f>IF(C187="","",IFERROR(VLOOKUP(C187,DonGia!$A$4:$D$203,3,FALSE),0))</f>
        <v/>
      </c>
      <c r="I187" s="49" t="n"/>
      <c r="J187" s="50" t="str">
        <f>IF(C187="","",IFERROR(VLOOKUP(C187,DonGia!$A$4:$D$203,4,FALSE),0))</f>
        <v/>
      </c>
      <c r="K187" s="49" t="n"/>
      <c r="L187" s="49" t="n"/>
      <c r="M187" s="51" t="str">
        <f>IF(A187="","",E187*H187+D187*F187/60*G187+D187*I187*J187+D187*K187+D187*L187)</f>
        <v/>
      </c>
      <c r="N187" s="50">
        <f>IFERROR(M187/D187,0)</f>
        <v>0</v>
      </c>
    </row>
    <row r="188">
      <c r="A188" s="49" t="n"/>
      <c r="B188" s="49" t="n"/>
      <c r="C188" s="49" t="n"/>
      <c r="D188" s="50" t="str">
        <f>IF(A188="","",IFERROR(VLOOKUP(A188,TinhGia!$A$4:$B$53,2,FALSE),0))</f>
        <v/>
      </c>
      <c r="E188" s="49" t="n"/>
      <c r="F188" s="49" t="n"/>
      <c r="G188" s="51" t="str">
        <f>IF(C188="","",IFERROR(VLOOKUP(C188,DonGia!$A$4:$D$203,2,FALSE),0))</f>
        <v/>
      </c>
      <c r="H188" s="51" t="str">
        <f>IF(C188="","",IFERROR(VLOOKUP(C188,DonGia!$A$4:$D$203,3,FALSE),0))</f>
        <v/>
      </c>
      <c r="I188" s="49" t="n"/>
      <c r="J188" s="50" t="str">
        <f>IF(C188="","",IFERROR(VLOOKUP(C188,DonGia!$A$4:$D$203,4,FALSE),0))</f>
        <v/>
      </c>
      <c r="K188" s="49" t="n"/>
      <c r="L188" s="49" t="n"/>
      <c r="M188" s="51" t="str">
        <f>IF(A188="","",E188*H188+D188*F188/60*G188+D188*I188*J188+D188*K188+D188*L188)</f>
        <v/>
      </c>
      <c r="N188" s="50">
        <f>IFERROR(M188/D188,0)</f>
        <v>0</v>
      </c>
    </row>
    <row r="189">
      <c r="A189" s="49" t="n"/>
      <c r="B189" s="49" t="n"/>
      <c r="C189" s="49" t="n"/>
      <c r="D189" s="50" t="str">
        <f>IF(A189="","",IFERROR(VLOOKUP(A189,TinhGia!$A$4:$B$53,2,FALSE),0))</f>
        <v/>
      </c>
      <c r="E189" s="49" t="n"/>
      <c r="F189" s="49" t="n"/>
      <c r="G189" s="51" t="str">
        <f>IF(C189="","",IFERROR(VLOOKUP(C189,DonGia!$A$4:$D$203,2,FALSE),0))</f>
        <v/>
      </c>
      <c r="H189" s="51" t="str">
        <f>IF(C189="","",IFERROR(VLOOKUP(C189,DonGia!$A$4:$D$203,3,FALSE),0))</f>
        <v/>
      </c>
      <c r="I189" s="49" t="n"/>
      <c r="J189" s="50" t="str">
        <f>IF(C189="","",IFERROR(VLOOKUP(C189,DonGia!$A$4:$D$203,4,FALSE),0))</f>
        <v/>
      </c>
      <c r="K189" s="49" t="n"/>
      <c r="L189" s="49" t="n"/>
      <c r="M189" s="51" t="str">
        <f>IF(A189="","",E189*H189+D189*F189/60*G189+D189*I189*J189+D189*K189+D189*L189)</f>
        <v/>
      </c>
      <c r="N189" s="50">
        <f>IFERROR(M189/D189,0)</f>
        <v>0</v>
      </c>
    </row>
    <row r="190">
      <c r="A190" s="49" t="n"/>
      <c r="B190" s="49" t="n"/>
      <c r="C190" s="49" t="n"/>
      <c r="D190" s="50" t="str">
        <f>IF(A190="","",IFERROR(VLOOKUP(A190,TinhGia!$A$4:$B$53,2,FALSE),0))</f>
        <v/>
      </c>
      <c r="E190" s="49" t="n"/>
      <c r="F190" s="49" t="n"/>
      <c r="G190" s="51" t="str">
        <f>IF(C190="","",IFERROR(VLOOKUP(C190,DonGia!$A$4:$D$203,2,FALSE),0))</f>
        <v/>
      </c>
      <c r="H190" s="51" t="str">
        <f>IF(C190="","",IFERROR(VLOOKUP(C190,DonGia!$A$4:$D$203,3,FALSE),0))</f>
        <v/>
      </c>
      <c r="I190" s="49" t="n"/>
      <c r="J190" s="50" t="str">
        <f>IF(C190="","",IFERROR(VLOOKUP(C190,DonGia!$A$4:$D$203,4,FALSE),0))</f>
        <v/>
      </c>
      <c r="K190" s="49" t="n"/>
      <c r="L190" s="49" t="n"/>
      <c r="M190" s="51" t="str">
        <f>IF(A190="","",E190*H190+D190*F190/60*G190+D190*I190*J190+D190*K190+D190*L190)</f>
        <v/>
      </c>
      <c r="N190" s="50">
        <f>IFERROR(M190/D190,0)</f>
        <v>0</v>
      </c>
    </row>
    <row r="191">
      <c r="A191" s="49" t="n"/>
      <c r="B191" s="49" t="n"/>
      <c r="C191" s="49" t="n"/>
      <c r="D191" s="50" t="str">
        <f>IF(A191="","",IFERROR(VLOOKUP(A191,TinhGia!$A$4:$B$53,2,FALSE),0))</f>
        <v/>
      </c>
      <c r="E191" s="49" t="n"/>
      <c r="F191" s="49" t="n"/>
      <c r="G191" s="51" t="str">
        <f>IF(C191="","",IFERROR(VLOOKUP(C191,DonGia!$A$4:$D$203,2,FALSE),0))</f>
        <v/>
      </c>
      <c r="H191" s="51" t="str">
        <f>IF(C191="","",IFERROR(VLOOKUP(C191,DonGia!$A$4:$D$203,3,FALSE),0))</f>
        <v/>
      </c>
      <c r="I191" s="49" t="n"/>
      <c r="J191" s="50" t="str">
        <f>IF(C191="","",IFERROR(VLOOKUP(C191,DonGia!$A$4:$D$203,4,FALSE),0))</f>
        <v/>
      </c>
      <c r="K191" s="49" t="n"/>
      <c r="L191" s="49" t="n"/>
      <c r="M191" s="51" t="str">
        <f>IF(A191="","",E191*H191+D191*F191/60*G191+D191*I191*J191+D191*K191+D191*L191)</f>
        <v/>
      </c>
      <c r="N191" s="50">
        <f>IFERROR(M191/D191,0)</f>
        <v>0</v>
      </c>
    </row>
    <row r="192">
      <c r="A192" s="49" t="n"/>
      <c r="B192" s="49" t="n"/>
      <c r="C192" s="49" t="n"/>
      <c r="D192" s="50" t="str">
        <f>IF(A192="","",IFERROR(VLOOKUP(A192,TinhGia!$A$4:$B$53,2,FALSE),0))</f>
        <v/>
      </c>
      <c r="E192" s="49" t="n"/>
      <c r="F192" s="49" t="n"/>
      <c r="G192" s="51" t="str">
        <f>IF(C192="","",IFERROR(VLOOKUP(C192,DonGia!$A$4:$D$203,2,FALSE),0))</f>
        <v/>
      </c>
      <c r="H192" s="51" t="str">
        <f>IF(C192="","",IFERROR(VLOOKUP(C192,DonGia!$A$4:$D$203,3,FALSE),0))</f>
        <v/>
      </c>
      <c r="I192" s="49" t="n"/>
      <c r="J192" s="50" t="str">
        <f>IF(C192="","",IFERROR(VLOOKUP(C192,DonGia!$A$4:$D$203,4,FALSE),0))</f>
        <v/>
      </c>
      <c r="K192" s="49" t="n"/>
      <c r="L192" s="49" t="n"/>
      <c r="M192" s="51" t="str">
        <f>IF(A192="","",E192*H192+D192*F192/60*G192+D192*I192*J192+D192*K192+D192*L192)</f>
        <v/>
      </c>
      <c r="N192" s="50">
        <f>IFERROR(M192/D192,0)</f>
        <v>0</v>
      </c>
    </row>
    <row r="193">
      <c r="A193" s="49" t="n"/>
      <c r="B193" s="49" t="n"/>
      <c r="C193" s="49" t="n"/>
      <c r="D193" s="50" t="str">
        <f>IF(A193="","",IFERROR(VLOOKUP(A193,TinhGia!$A$4:$B$53,2,FALSE),0))</f>
        <v/>
      </c>
      <c r="E193" s="49" t="n"/>
      <c r="F193" s="49" t="n"/>
      <c r="G193" s="51" t="str">
        <f>IF(C193="","",IFERROR(VLOOKUP(C193,DonGia!$A$4:$D$203,2,FALSE),0))</f>
        <v/>
      </c>
      <c r="H193" s="51" t="str">
        <f>IF(C193="","",IFERROR(VLOOKUP(C193,DonGia!$A$4:$D$203,3,FALSE),0))</f>
        <v/>
      </c>
      <c r="I193" s="49" t="n"/>
      <c r="J193" s="50" t="str">
        <f>IF(C193="","",IFERROR(VLOOKUP(C193,DonGia!$A$4:$D$203,4,FALSE),0))</f>
        <v/>
      </c>
      <c r="K193" s="49" t="n"/>
      <c r="L193" s="49" t="n"/>
      <c r="M193" s="51" t="str">
        <f>IF(A193="","",E193*H193+D193*F193/60*G193+D193*I193*J193+D193*K193+D193*L193)</f>
        <v/>
      </c>
      <c r="N193" s="50">
        <f>IFERROR(M193/D193,0)</f>
        <v>0</v>
      </c>
    </row>
    <row r="194">
      <c r="A194" s="49" t="n"/>
      <c r="B194" s="49" t="n"/>
      <c r="C194" s="49" t="n"/>
      <c r="D194" s="50" t="str">
        <f>IF(A194="","",IFERROR(VLOOKUP(A194,TinhGia!$A$4:$B$53,2,FALSE),0))</f>
        <v/>
      </c>
      <c r="E194" s="49" t="n"/>
      <c r="F194" s="49" t="n"/>
      <c r="G194" s="51" t="str">
        <f>IF(C194="","",IFERROR(VLOOKUP(C194,DonGia!$A$4:$D$203,2,FALSE),0))</f>
        <v/>
      </c>
      <c r="H194" s="51" t="str">
        <f>IF(C194="","",IFERROR(VLOOKUP(C194,DonGia!$A$4:$D$203,3,FALSE),0))</f>
        <v/>
      </c>
      <c r="I194" s="49" t="n"/>
      <c r="J194" s="50" t="str">
        <f>IF(C194="","",IFERROR(VLOOKUP(C194,DonGia!$A$4:$D$203,4,FALSE),0))</f>
        <v/>
      </c>
      <c r="K194" s="49" t="n"/>
      <c r="L194" s="49" t="n"/>
      <c r="M194" s="51" t="str">
        <f>IF(A194="","",E194*H194+D194*F194/60*G194+D194*I194*J194+D194*K194+D194*L194)</f>
        <v/>
      </c>
      <c r="N194" s="50">
        <f>IFERROR(M194/D194,0)</f>
        <v>0</v>
      </c>
    </row>
    <row r="195">
      <c r="A195" s="49" t="n"/>
      <c r="B195" s="49" t="n"/>
      <c r="C195" s="49" t="n"/>
      <c r="D195" s="50" t="str">
        <f>IF(A195="","",IFERROR(VLOOKUP(A195,TinhGia!$A$4:$B$53,2,FALSE),0))</f>
        <v/>
      </c>
      <c r="E195" s="49" t="n"/>
      <c r="F195" s="49" t="n"/>
      <c r="G195" s="51" t="str">
        <f>IF(C195="","",IFERROR(VLOOKUP(C195,DonGia!$A$4:$D$203,2,FALSE),0))</f>
        <v/>
      </c>
      <c r="H195" s="51" t="str">
        <f>IF(C195="","",IFERROR(VLOOKUP(C195,DonGia!$A$4:$D$203,3,FALSE),0))</f>
        <v/>
      </c>
      <c r="I195" s="49" t="n"/>
      <c r="J195" s="50" t="str">
        <f>IF(C195="","",IFERROR(VLOOKUP(C195,DonGia!$A$4:$D$203,4,FALSE),0))</f>
        <v/>
      </c>
      <c r="K195" s="49" t="n"/>
      <c r="L195" s="49" t="n"/>
      <c r="M195" s="51" t="str">
        <f>IF(A195="","",E195*H195+D195*F195/60*G195+D195*I195*J195+D195*K195+D195*L195)</f>
        <v/>
      </c>
      <c r="N195" s="50">
        <f>IFERROR(M195/D195,0)</f>
        <v>0</v>
      </c>
    </row>
    <row r="196">
      <c r="A196" s="49" t="n"/>
      <c r="B196" s="49" t="n"/>
      <c r="C196" s="49" t="n"/>
      <c r="D196" s="50" t="str">
        <f>IF(A196="","",IFERROR(VLOOKUP(A196,TinhGia!$A$4:$B$53,2,FALSE),0))</f>
        <v/>
      </c>
      <c r="E196" s="49" t="n"/>
      <c r="F196" s="49" t="n"/>
      <c r="G196" s="51" t="str">
        <f>IF(C196="","",IFERROR(VLOOKUP(C196,DonGia!$A$4:$D$203,2,FALSE),0))</f>
        <v/>
      </c>
      <c r="H196" s="51" t="str">
        <f>IF(C196="","",IFERROR(VLOOKUP(C196,DonGia!$A$4:$D$203,3,FALSE),0))</f>
        <v/>
      </c>
      <c r="I196" s="49" t="n"/>
      <c r="J196" s="50" t="str">
        <f>IF(C196="","",IFERROR(VLOOKUP(C196,DonGia!$A$4:$D$203,4,FALSE),0))</f>
        <v/>
      </c>
      <c r="K196" s="49" t="n"/>
      <c r="L196" s="49" t="n"/>
      <c r="M196" s="51" t="str">
        <f>IF(A196="","",E196*H196+D196*F196/60*G196+D196*I196*J196+D196*K196+D196*L196)</f>
        <v/>
      </c>
      <c r="N196" s="50">
        <f>IFERROR(M196/D196,0)</f>
        <v>0</v>
      </c>
    </row>
    <row r="197">
      <c r="A197" s="49" t="n"/>
      <c r="B197" s="49" t="n"/>
      <c r="C197" s="49" t="n"/>
      <c r="D197" s="50" t="str">
        <f>IF(A197="","",IFERROR(VLOOKUP(A197,TinhGia!$A$4:$B$53,2,FALSE),0))</f>
        <v/>
      </c>
      <c r="E197" s="49" t="n"/>
      <c r="F197" s="49" t="n"/>
      <c r="G197" s="51" t="str">
        <f>IF(C197="","",IFERROR(VLOOKUP(C197,DonGia!$A$4:$D$203,2,FALSE),0))</f>
        <v/>
      </c>
      <c r="H197" s="51" t="str">
        <f>IF(C197="","",IFERROR(VLOOKUP(C197,DonGia!$A$4:$D$203,3,FALSE),0))</f>
        <v/>
      </c>
      <c r="I197" s="49" t="n"/>
      <c r="J197" s="50" t="str">
        <f>IF(C197="","",IFERROR(VLOOKUP(C197,DonGia!$A$4:$D$203,4,FALSE),0))</f>
        <v/>
      </c>
      <c r="K197" s="49" t="n"/>
      <c r="L197" s="49" t="n"/>
      <c r="M197" s="51" t="str">
        <f>IF(A197="","",E197*H197+D197*F197/60*G197+D197*I197*J197+D197*K197+D197*L197)</f>
        <v/>
      </c>
      <c r="N197" s="50">
        <f>IFERROR(M197/D197,0)</f>
        <v>0</v>
      </c>
    </row>
    <row r="198">
      <c r="A198" s="49" t="n"/>
      <c r="B198" s="49" t="n"/>
      <c r="C198" s="49" t="n"/>
      <c r="D198" s="50" t="str">
        <f>IF(A198="","",IFERROR(VLOOKUP(A198,TinhGia!$A$4:$B$53,2,FALSE),0))</f>
        <v/>
      </c>
      <c r="E198" s="49" t="n"/>
      <c r="F198" s="49" t="n"/>
      <c r="G198" s="51" t="str">
        <f>IF(C198="","",IFERROR(VLOOKUP(C198,DonGia!$A$4:$D$203,2,FALSE),0))</f>
        <v/>
      </c>
      <c r="H198" s="51" t="str">
        <f>IF(C198="","",IFERROR(VLOOKUP(C198,DonGia!$A$4:$D$203,3,FALSE),0))</f>
        <v/>
      </c>
      <c r="I198" s="49" t="n"/>
      <c r="J198" s="50" t="str">
        <f>IF(C198="","",IFERROR(VLOOKUP(C198,DonGia!$A$4:$D$203,4,FALSE),0))</f>
        <v/>
      </c>
      <c r="K198" s="49" t="n"/>
      <c r="L198" s="49" t="n"/>
      <c r="M198" s="51" t="str">
        <f>IF(A198="","",E198*H198+D198*F198/60*G198+D198*I198*J198+D198*K198+D198*L198)</f>
        <v/>
      </c>
      <c r="N198" s="50">
        <f>IFERROR(M198/D198,0)</f>
        <v>0</v>
      </c>
    </row>
    <row r="199">
      <c r="A199" s="49" t="n"/>
      <c r="B199" s="49" t="n"/>
      <c r="C199" s="49" t="n"/>
      <c r="D199" s="50" t="str">
        <f>IF(A199="","",IFERROR(VLOOKUP(A199,TinhGia!$A$4:$B$53,2,FALSE),0))</f>
        <v/>
      </c>
      <c r="E199" s="49" t="n"/>
      <c r="F199" s="49" t="n"/>
      <c r="G199" s="51" t="str">
        <f>IF(C199="","",IFERROR(VLOOKUP(C199,DonGia!$A$4:$D$203,2,FALSE),0))</f>
        <v/>
      </c>
      <c r="H199" s="51" t="str">
        <f>IF(C199="","",IFERROR(VLOOKUP(C199,DonGia!$A$4:$D$203,3,FALSE),0))</f>
        <v/>
      </c>
      <c r="I199" s="49" t="n"/>
      <c r="J199" s="50" t="str">
        <f>IF(C199="","",IFERROR(VLOOKUP(C199,DonGia!$A$4:$D$203,4,FALSE),0))</f>
        <v/>
      </c>
      <c r="K199" s="49" t="n"/>
      <c r="L199" s="49" t="n"/>
      <c r="M199" s="51" t="str">
        <f>IF(A199="","",E199*H199+D199*F199/60*G199+D199*I199*J199+D199*K199+D199*L199)</f>
        <v/>
      </c>
      <c r="N199" s="50">
        <f>IFERROR(M199/D199,0)</f>
        <v>0</v>
      </c>
    </row>
  </sheetData>
  <mergeCells count="1">
    <mergeCell ref="A1:N1"/>
  </mergeCells>
  <conditionalFormatting sqref="C4:C199">
    <cfRule type="expression" priority="1" dxfId="0">
      <formula>AND(C4&lt;&gt;"",COUNTIF(DonGia!$A$4:$A$203,C4)=0)</formula>
    </cfRule>
  </conditionalFormatting>
  <dataValidations count="1">
    <dataValidation sqref="C4:C199" showDropDown="0" showInputMessage="0" showErrorMessage="1" allowBlank="1" errorTitle="Công đoạn không có" error="Công đoạn này chưa có trong sheet DonGia. Hãy thêm ở DonGia trước." type="list" errorStyle="stop">
      <formula1>DS_CongDoan</formula1>
    </dataValidation>
  </dataValidation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P56"/>
  <sheetViews>
    <sheetView showGridLines="0" workbookViewId="0">
      <pane ySplit="3" topLeftCell="A4" activePane="bottomLeft" state="frozen"/>
      <selection pane="bottomLeft" activeCell="A5" sqref="A5"/>
    </sheetView>
  </sheetViews>
  <sheetFormatPr baseColWidth="8" defaultColWidth="9" defaultRowHeight="15"/>
  <cols>
    <col width="8.28515625" customWidth="1" style="44" min="1" max="1"/>
    <col width="12" customWidth="1" style="44" min="2" max="2"/>
    <col width="7.85546875" customWidth="1" style="44" min="3" max="3"/>
    <col width="11.85546875" customWidth="1" style="44" min="4" max="4"/>
    <col width="16.7109375" customWidth="1" style="44" min="5" max="5"/>
    <col width="14" customWidth="1" style="44" min="6" max="6"/>
    <col width="12.28515625" customWidth="1" style="44" min="7" max="7"/>
    <col width="9.7109375" customWidth="1" style="44" min="8" max="8"/>
    <col width="21" customWidth="1" style="44" min="9" max="9"/>
    <col width="15.140625" customWidth="1" style="44" min="10" max="10"/>
    <col width="15.85546875" customWidth="1" style="44" min="11" max="11"/>
    <col width="12.7109375" customWidth="1" style="44" min="12" max="12"/>
    <col width="12.5703125" customWidth="1" style="44" min="13" max="13"/>
    <col width="10.42578125" customWidth="1" style="44" min="14" max="14"/>
    <col width="13.85546875" customWidth="1" style="44" min="15" max="15"/>
    <col width="14.85546875" customWidth="1" style="44" min="16" max="16"/>
    <col width="9" customWidth="1" style="33" min="17" max="16384"/>
  </cols>
  <sheetData>
    <row r="1" ht="27.95" customFormat="1" customHeight="1" s="45">
      <c r="A1" s="46" t="inlineStr">
        <is>
          <t>TÍNH GIÁ THÀNH TỰ ĐỘNG</t>
        </is>
      </c>
      <c r="P1" s="47" t="n"/>
    </row>
    <row r="2"/>
    <row r="3" ht="18" customHeight="1" s="21">
      <c r="A3" s="48" t="inlineStr">
        <is>
          <t>Mã hàng</t>
        </is>
      </c>
      <c r="B3" s="48" t="inlineStr">
        <is>
          <t>Số lượng</t>
        </is>
      </c>
      <c r="C3" s="48" t="inlineStr">
        <is>
          <t>Vật liệu</t>
        </is>
      </c>
      <c r="D3" s="48" t="inlineStr">
        <is>
          <t>Phôi (kg/cái)</t>
        </is>
      </c>
      <c r="E3" s="48" t="inlineStr">
        <is>
          <t>Giá vật liệu (đ/kg)</t>
        </is>
      </c>
      <c r="F3" s="48" t="inlineStr">
        <is>
          <t>Vật liệu/cái (đ)</t>
        </is>
      </c>
      <c r="G3" s="52" t="inlineStr">
        <is>
          <t>Chi phí GC</t>
        </is>
      </c>
      <c r="H3" s="48" t="inlineStr">
        <is>
          <t>Chi phí VC</t>
        </is>
      </c>
      <c r="I3" s="48" t="inlineStr">
        <is>
          <t>Ghi chú</t>
        </is>
      </c>
      <c r="J3" s="48" t="inlineStr">
        <is>
          <t>Trực tiếp/cái (đ)</t>
        </is>
      </c>
      <c r="K3" s="48" t="inlineStr">
        <is>
          <t>Chi phí chung/cái</t>
        </is>
      </c>
      <c r="L3" s="48" t="inlineStr">
        <is>
          <t>Dự phòng/cái</t>
        </is>
      </c>
      <c r="M3" s="48" t="inlineStr">
        <is>
          <t>Giá thành/cái</t>
        </is>
      </c>
      <c r="N3" s="48" t="inlineStr">
        <is>
          <t>Margin (%)</t>
        </is>
      </c>
      <c r="O3" s="48" t="inlineStr">
        <is>
          <t>Giá bán/cái (đ)</t>
        </is>
      </c>
      <c r="P3" s="48" t="inlineStr">
        <is>
          <t>Tổng giá bán (đ)</t>
        </is>
      </c>
    </row>
    <row r="4">
      <c r="A4" s="49" t="inlineStr">
        <is>
          <t>Bro1</t>
        </is>
      </c>
      <c r="B4" s="49" t="n">
        <v>3</v>
      </c>
      <c r="C4" s="49" t="inlineStr">
        <is>
          <t>SUS304</t>
        </is>
      </c>
      <c r="D4" s="49" t="n">
        <v>1.2</v>
      </c>
      <c r="E4" s="51">
        <f>IF(C4="","",IFERROR(VLOOKUP(C4,VatLieu!$A$4:$B$203,2,FALSE),0))</f>
        <v>80000</v>
      </c>
      <c r="F4" s="51">
        <f>IF(A4="","",D4*E4*(1+IFERROR(VLOOKUP(C4,VatLieu!$A$4:$C$203,3,FALSE),0)/100))</f>
        <v>105600</v>
      </c>
      <c r="G4" s="51">
        <f>IF(A4="","",IFERROR(SUMIF(CongDoan!$A$4:$A$199,A4,CongDoan!$N$4:$N$199),0))</f>
        <v>216666.666666667</v>
      </c>
      <c r="H4" s="53" t="n">
        <v>0</v>
      </c>
      <c r="I4" s="49" t="n"/>
      <c r="J4" s="51">
        <f>IF(A4="","",F4+G4+H4)</f>
        <v>322266.666666667</v>
      </c>
      <c r="K4" s="51">
        <f>IF(A4="","",J4*DonGia!$H$4/100)</f>
        <v>25781.3333333333</v>
      </c>
      <c r="L4" s="51">
        <f>IF(A4="","",(J4+K4)*DonGia!$H$5/100)</f>
        <v>13921.92</v>
      </c>
      <c r="M4" s="51">
        <f>IF(A4="","",J4+K4+L4)</f>
        <v>361969.92</v>
      </c>
      <c r="N4" s="53">
        <f>DonGia!$H$6</f>
        <v>35</v>
      </c>
      <c r="O4" s="51">
        <f>IF(A4="","",IFERROR(M4/(1-N4/100),0))</f>
        <v>556876.8</v>
      </c>
      <c r="P4" s="51">
        <f>IF(A4="","",O4*B4)</f>
        <v>1670630.4</v>
      </c>
    </row>
    <row r="5">
      <c r="A5" s="49" t="n"/>
      <c r="B5" s="49" t="n"/>
      <c r="C5" s="49" t="n"/>
      <c r="D5" s="49" t="n"/>
      <c r="E5" s="51" t="str">
        <f>IF(C5="","",IFERROR(VLOOKUP(C5,VatLieu!$A$4:$B$203,2,FALSE),0))</f>
        <v/>
      </c>
      <c r="F5" s="51" t="str">
        <f>IF(A5="","",D5*E5*(1+IFERROR(VLOOKUP(C5,VatLieu!$A$4:$C$203,3,FALSE),0)/100))</f>
        <v/>
      </c>
      <c r="G5" s="51" t="str">
        <f>IF(A5="","",IFERROR(SUMIF(CongDoan!$A$4:$A$199,A5,CongDoan!$N$4:$N$199),0))</f>
        <v/>
      </c>
      <c r="H5" s="53" t="n">
        <v>0</v>
      </c>
      <c r="I5" s="49" t="n"/>
      <c r="J5" s="51" t="str">
        <f>IF(A5="","",F5+G5+H5)</f>
        <v/>
      </c>
      <c r="K5" s="51" t="str">
        <f>IF(A5="","",J5*DonGia!$H$4/100)</f>
        <v/>
      </c>
      <c r="L5" s="51" t="str">
        <f>IF(A5="","",(J5+K5)*DonGia!$H$5/100)</f>
        <v/>
      </c>
      <c r="M5" s="51" t="str">
        <f>IF(A5="","",J5+K5+L5)</f>
        <v/>
      </c>
      <c r="N5" s="53">
        <f>DonGia!$H$6</f>
        <v>35</v>
      </c>
      <c r="O5" s="51" t="str">
        <f>IF(A5="","",IFERROR(M5/(1-N5/100),0))</f>
        <v/>
      </c>
      <c r="P5" s="51" t="str">
        <f>IF(A5="","",O5*B5)</f>
        <v/>
      </c>
    </row>
    <row r="6">
      <c r="A6" s="49" t="n"/>
      <c r="B6" s="49" t="n"/>
      <c r="C6" s="49" t="n"/>
      <c r="D6" s="49" t="n"/>
      <c r="E6" s="51" t="str">
        <f>IF(C6="","",IFERROR(VLOOKUP(C6,VatLieu!$A$4:$B$203,2,FALSE),0))</f>
        <v/>
      </c>
      <c r="F6" s="51" t="str">
        <f>IF(A6="","",D6*E6*(1+IFERROR(VLOOKUP(C6,VatLieu!$A$4:$C$203,3,FALSE),0)/100))</f>
        <v/>
      </c>
      <c r="G6" s="51" t="str">
        <f>IF(A6="","",IFERROR(SUMIF(CongDoan!$A$4:$A$199,A6,CongDoan!$N$4:$N$199),0))</f>
        <v/>
      </c>
      <c r="H6" s="53" t="n">
        <v>0</v>
      </c>
      <c r="I6" s="49" t="n"/>
      <c r="J6" s="51" t="str">
        <f>IF(A6="","",F6+G6+H6)</f>
        <v/>
      </c>
      <c r="K6" s="51" t="str">
        <f>IF(A6="","",J6*DonGia!$H$4/100)</f>
        <v/>
      </c>
      <c r="L6" s="51" t="str">
        <f>IF(A6="","",(J6+K6)*DonGia!$H$5/100)</f>
        <v/>
      </c>
      <c r="M6" s="51" t="str">
        <f>IF(A6="","",J6+K6+L6)</f>
        <v/>
      </c>
      <c r="N6" s="53">
        <f>DonGia!$H$6</f>
        <v>35</v>
      </c>
      <c r="O6" s="51" t="str">
        <f>IF(A6="","",IFERROR(M6/(1-N6/100),0))</f>
        <v/>
      </c>
      <c r="P6" s="51" t="str">
        <f>IF(A6="","",O6*B6)</f>
        <v/>
      </c>
    </row>
    <row r="7">
      <c r="A7" s="49" t="n"/>
      <c r="B7" s="49" t="n"/>
      <c r="C7" s="49" t="n"/>
      <c r="D7" s="49" t="n"/>
      <c r="E7" s="51" t="str">
        <f>IF(C7="","",IFERROR(VLOOKUP(C7,VatLieu!$A$4:$B$203,2,FALSE),0))</f>
        <v/>
      </c>
      <c r="F7" s="51" t="str">
        <f>IF(A7="","",D7*E7*(1+IFERROR(VLOOKUP(C7,VatLieu!$A$4:$C$203,3,FALSE),0)/100))</f>
        <v/>
      </c>
      <c r="G7" s="51" t="str">
        <f>IF(A7="","",IFERROR(SUMIF(CongDoan!$A$4:$A$199,A7,CongDoan!$N$4:$N$199),0))</f>
        <v/>
      </c>
      <c r="H7" s="53" t="n">
        <v>0</v>
      </c>
      <c r="I7" s="49" t="n"/>
      <c r="J7" s="51" t="str">
        <f>IF(A7="","",F7+G7+H7)</f>
        <v/>
      </c>
      <c r="K7" s="51" t="str">
        <f>IF(A7="","",J7*DonGia!$H$4/100)</f>
        <v/>
      </c>
      <c r="L7" s="51" t="str">
        <f>IF(A7="","",(J7+K7)*DonGia!$H$5/100)</f>
        <v/>
      </c>
      <c r="M7" s="51" t="str">
        <f>IF(A7="","",J7+K7+L7)</f>
        <v/>
      </c>
      <c r="N7" s="53">
        <f>DonGia!$H$6</f>
        <v>35</v>
      </c>
      <c r="O7" s="51" t="str">
        <f>IF(A7="","",IFERROR(M7/(1-N7/100),0))</f>
        <v/>
      </c>
      <c r="P7" s="51" t="str">
        <f>IF(A7="","",O7*B7)</f>
        <v/>
      </c>
    </row>
    <row r="8">
      <c r="A8" s="49" t="n"/>
      <c r="B8" s="49" t="n"/>
      <c r="C8" s="49" t="n"/>
      <c r="D8" s="49" t="n"/>
      <c r="E8" s="51" t="str">
        <f>IF(C8="","",IFERROR(VLOOKUP(C8,VatLieu!$A$4:$B$203,2,FALSE),0))</f>
        <v/>
      </c>
      <c r="F8" s="51" t="str">
        <f>IF(A8="","",D8*E8*(1+IFERROR(VLOOKUP(C8,VatLieu!$A$4:$C$203,3,FALSE),0)/100))</f>
        <v/>
      </c>
      <c r="G8" s="51" t="str">
        <f>IF(A8="","",IFERROR(SUMIF(CongDoan!$A$4:$A$199,A8,CongDoan!$N$4:$N$199),0))</f>
        <v/>
      </c>
      <c r="H8" s="53" t="n">
        <v>0</v>
      </c>
      <c r="I8" s="49" t="n"/>
      <c r="J8" s="51" t="str">
        <f>IF(A8="","",F8+G8+H8)</f>
        <v/>
      </c>
      <c r="K8" s="51" t="str">
        <f>IF(A8="","",J8*DonGia!$H$4/100)</f>
        <v/>
      </c>
      <c r="L8" s="51" t="str">
        <f>IF(A8="","",(J8+K8)*DonGia!$H$5/100)</f>
        <v/>
      </c>
      <c r="M8" s="51" t="str">
        <f>IF(A8="","",J8+K8+L8)</f>
        <v/>
      </c>
      <c r="N8" s="53">
        <f>DonGia!$H$6</f>
        <v>35</v>
      </c>
      <c r="O8" s="51" t="str">
        <f>IF(A8="","",IFERROR(M8/(1-N8/100),0))</f>
        <v/>
      </c>
      <c r="P8" s="51" t="str">
        <f>IF(A8="","",O8*B8)</f>
        <v/>
      </c>
    </row>
    <row r="9">
      <c r="A9" s="49" t="n"/>
      <c r="B9" s="49" t="n"/>
      <c r="C9" s="49" t="n"/>
      <c r="D9" s="49" t="n"/>
      <c r="E9" s="51" t="str">
        <f>IF(C9="","",IFERROR(VLOOKUP(C9,VatLieu!$A$4:$B$203,2,FALSE),0))</f>
        <v/>
      </c>
      <c r="F9" s="51" t="str">
        <f>IF(A9="","",D9*E9*(1+IFERROR(VLOOKUP(C9,VatLieu!$A$4:$C$203,3,FALSE),0)/100))</f>
        <v/>
      </c>
      <c r="G9" s="51" t="str">
        <f>IF(A9="","",IFERROR(SUMIF(CongDoan!$A$4:$A$199,A9,CongDoan!$N$4:$N$199),0))</f>
        <v/>
      </c>
      <c r="H9" s="53" t="n">
        <v>0</v>
      </c>
      <c r="I9" s="49" t="n"/>
      <c r="J9" s="51" t="str">
        <f>IF(A9="","",F9+G9+H9)</f>
        <v/>
      </c>
      <c r="K9" s="51" t="str">
        <f>IF(A9="","",J9*DonGia!$H$4/100)</f>
        <v/>
      </c>
      <c r="L9" s="51" t="str">
        <f>IF(A9="","",(J9+K9)*DonGia!$H$5/100)</f>
        <v/>
      </c>
      <c r="M9" s="51" t="str">
        <f>IF(A9="","",J9+K9+L9)</f>
        <v/>
      </c>
      <c r="N9" s="53">
        <f>DonGia!$H$6</f>
        <v>35</v>
      </c>
      <c r="O9" s="51" t="str">
        <f>IF(A9="","",IFERROR(M9/(1-N9/100),0))</f>
        <v/>
      </c>
      <c r="P9" s="51" t="str">
        <f>IF(A9="","",O9*B9)</f>
        <v/>
      </c>
    </row>
    <row r="10">
      <c r="A10" s="49" t="n"/>
      <c r="B10" s="49" t="n"/>
      <c r="C10" s="49" t="n"/>
      <c r="D10" s="49" t="n"/>
      <c r="E10" s="51" t="str">
        <f>IF(C10="","",IFERROR(VLOOKUP(C10,VatLieu!$A$4:$B$203,2,FALSE),0))</f>
        <v/>
      </c>
      <c r="F10" s="51" t="str">
        <f>IF(A10="","",D10*E10*(1+IFERROR(VLOOKUP(C10,VatLieu!$A$4:$C$203,3,FALSE),0)/100))</f>
        <v/>
      </c>
      <c r="G10" s="51" t="str">
        <f>IF(A10="","",IFERROR(SUMIF(CongDoan!$A$4:$A$199,A10,CongDoan!$N$4:$N$199),0))</f>
        <v/>
      </c>
      <c r="H10" s="53" t="n">
        <v>0</v>
      </c>
      <c r="I10" s="49" t="n"/>
      <c r="J10" s="51" t="str">
        <f>IF(A10="","",F10+G10+H10)</f>
        <v/>
      </c>
      <c r="K10" s="51" t="str">
        <f>IF(A10="","",J10*DonGia!$H$4/100)</f>
        <v/>
      </c>
      <c r="L10" s="51" t="str">
        <f>IF(A10="","",(J10+K10)*DonGia!$H$5/100)</f>
        <v/>
      </c>
      <c r="M10" s="51" t="str">
        <f>IF(A10="","",J10+K10+L10)</f>
        <v/>
      </c>
      <c r="N10" s="53">
        <f>DonGia!$H$6</f>
        <v>35</v>
      </c>
      <c r="O10" s="51" t="str">
        <f>IF(A10="","",IFERROR(M10/(1-N10/100),0))</f>
        <v/>
      </c>
      <c r="P10" s="51" t="str">
        <f>IF(A10="","",O10*B10)</f>
        <v/>
      </c>
    </row>
    <row r="11">
      <c r="A11" s="49" t="n"/>
      <c r="B11" s="49" t="n"/>
      <c r="C11" s="49" t="n"/>
      <c r="D11" s="49" t="n"/>
      <c r="E11" s="51" t="str">
        <f>IF(C11="","",IFERROR(VLOOKUP(C11,VatLieu!$A$4:$B$203,2,FALSE),0))</f>
        <v/>
      </c>
      <c r="F11" s="51" t="str">
        <f>IF(A11="","",D11*E11*(1+IFERROR(VLOOKUP(C11,VatLieu!$A$4:$C$203,3,FALSE),0)/100))</f>
        <v/>
      </c>
      <c r="G11" s="51" t="str">
        <f>IF(A11="","",IFERROR(SUMIF(CongDoan!$A$4:$A$199,A11,CongDoan!$N$4:$N$199),0))</f>
        <v/>
      </c>
      <c r="H11" s="53" t="n">
        <v>0</v>
      </c>
      <c r="I11" s="49" t="n"/>
      <c r="J11" s="51" t="str">
        <f>IF(A11="","",F11+G11+H11)</f>
        <v/>
      </c>
      <c r="K11" s="51" t="str">
        <f>IF(A11="","",J11*DonGia!$H$4/100)</f>
        <v/>
      </c>
      <c r="L11" s="51" t="str">
        <f>IF(A11="","",(J11+K11)*DonGia!$H$5/100)</f>
        <v/>
      </c>
      <c r="M11" s="51" t="str">
        <f>IF(A11="","",J11+K11+L11)</f>
        <v/>
      </c>
      <c r="N11" s="53">
        <f>DonGia!$H$6</f>
        <v>35</v>
      </c>
      <c r="O11" s="51" t="str">
        <f>IF(A11="","",IFERROR(M11/(1-N11/100),0))</f>
        <v/>
      </c>
      <c r="P11" s="51" t="str">
        <f>IF(A11="","",O11*B11)</f>
        <v/>
      </c>
    </row>
    <row r="12">
      <c r="A12" s="49" t="n"/>
      <c r="B12" s="49" t="n"/>
      <c r="C12" s="49" t="n"/>
      <c r="D12" s="49" t="n"/>
      <c r="E12" s="51" t="str">
        <f>IF(C12="","",IFERROR(VLOOKUP(C12,VatLieu!$A$4:$B$203,2,FALSE),0))</f>
        <v/>
      </c>
      <c r="F12" s="51" t="str">
        <f>IF(A12="","",D12*E12*(1+IFERROR(VLOOKUP(C12,VatLieu!$A$4:$C$203,3,FALSE),0)/100))</f>
        <v/>
      </c>
      <c r="G12" s="51" t="str">
        <f>IF(A12="","",IFERROR(SUMIF(CongDoan!$A$4:$A$199,A12,CongDoan!$N$4:$N$199),0))</f>
        <v/>
      </c>
      <c r="H12" s="53" t="n">
        <v>0</v>
      </c>
      <c r="I12" s="49" t="n"/>
      <c r="J12" s="51" t="str">
        <f>IF(A12="","",F12+G12+H12)</f>
        <v/>
      </c>
      <c r="K12" s="51" t="str">
        <f>IF(A12="","",J12*DonGia!$H$4/100)</f>
        <v/>
      </c>
      <c r="L12" s="51" t="str">
        <f>IF(A12="","",(J12+K12)*DonGia!$H$5/100)</f>
        <v/>
      </c>
      <c r="M12" s="51" t="str">
        <f>IF(A12="","",J12+K12+L12)</f>
        <v/>
      </c>
      <c r="N12" s="53">
        <f>DonGia!$H$6</f>
        <v>35</v>
      </c>
      <c r="O12" s="51" t="str">
        <f>IF(A12="","",IFERROR(M12/(1-N12/100),0))</f>
        <v/>
      </c>
      <c r="P12" s="51" t="str">
        <f>IF(A12="","",O12*B12)</f>
        <v/>
      </c>
    </row>
    <row r="13">
      <c r="A13" s="49" t="n"/>
      <c r="B13" s="49" t="n"/>
      <c r="C13" s="49" t="n"/>
      <c r="D13" s="49" t="n"/>
      <c r="E13" s="51" t="str">
        <f>IF(C13="","",IFERROR(VLOOKUP(C13,VatLieu!$A$4:$B$203,2,FALSE),0))</f>
        <v/>
      </c>
      <c r="F13" s="51" t="str">
        <f>IF(A13="","",D13*E13*(1+IFERROR(VLOOKUP(C13,VatLieu!$A$4:$C$203,3,FALSE),0)/100))</f>
        <v/>
      </c>
      <c r="G13" s="51" t="str">
        <f>IF(A13="","",IFERROR(SUMIF(CongDoan!$A$4:$A$199,A13,CongDoan!$N$4:$N$199),0))</f>
        <v/>
      </c>
      <c r="H13" s="53" t="n">
        <v>0</v>
      </c>
      <c r="I13" s="49" t="n"/>
      <c r="J13" s="51" t="str">
        <f>IF(A13="","",F13+G13+H13)</f>
        <v/>
      </c>
      <c r="K13" s="51" t="str">
        <f>IF(A13="","",J13*DonGia!$H$4/100)</f>
        <v/>
      </c>
      <c r="L13" s="51" t="str">
        <f>IF(A13="","",(J13+K13)*DonGia!$H$5/100)</f>
        <v/>
      </c>
      <c r="M13" s="51" t="str">
        <f>IF(A13="","",J13+K13+L13)</f>
        <v/>
      </c>
      <c r="N13" s="53">
        <f>DonGia!$H$6</f>
        <v>35</v>
      </c>
      <c r="O13" s="51" t="str">
        <f>IF(A13="","",IFERROR(M13/(1-N13/100),0))</f>
        <v/>
      </c>
      <c r="P13" s="51" t="str">
        <f>IF(A13="","",O13*B13)</f>
        <v/>
      </c>
    </row>
    <row r="14">
      <c r="A14" s="49" t="n"/>
      <c r="B14" s="49" t="n"/>
      <c r="C14" s="49" t="n"/>
      <c r="D14" s="49" t="n"/>
      <c r="E14" s="51" t="str">
        <f>IF(C14="","",IFERROR(VLOOKUP(C14,VatLieu!$A$4:$B$203,2,FALSE),0))</f>
        <v/>
      </c>
      <c r="F14" s="51" t="str">
        <f>IF(A14="","",D14*E14*(1+IFERROR(VLOOKUP(C14,VatLieu!$A$4:$C$203,3,FALSE),0)/100))</f>
        <v/>
      </c>
      <c r="G14" s="51" t="str">
        <f>IF(A14="","",IFERROR(SUMIF(CongDoan!$A$4:$A$199,A14,CongDoan!$N$4:$N$199),0))</f>
        <v/>
      </c>
      <c r="H14" s="53" t="n">
        <v>0</v>
      </c>
      <c r="I14" s="49" t="n"/>
      <c r="J14" s="51" t="str">
        <f>IF(A14="","",F14+G14+H14)</f>
        <v/>
      </c>
      <c r="K14" s="51" t="str">
        <f>IF(A14="","",J14*DonGia!$H$4/100)</f>
        <v/>
      </c>
      <c r="L14" s="51" t="str">
        <f>IF(A14="","",(J14+K14)*DonGia!$H$5/100)</f>
        <v/>
      </c>
      <c r="M14" s="51" t="str">
        <f>IF(A14="","",J14+K14+L14)</f>
        <v/>
      </c>
      <c r="N14" s="53">
        <f>DonGia!$H$6</f>
        <v>35</v>
      </c>
      <c r="O14" s="51" t="str">
        <f>IF(A14="","",IFERROR(M14/(1-N14/100),0))</f>
        <v/>
      </c>
      <c r="P14" s="51" t="str">
        <f>IF(A14="","",O14*B14)</f>
        <v/>
      </c>
    </row>
    <row r="15">
      <c r="A15" s="49" t="n"/>
      <c r="B15" s="49" t="n"/>
      <c r="C15" s="49" t="n"/>
      <c r="D15" s="49" t="n"/>
      <c r="E15" s="51" t="str">
        <f>IF(C15="","",IFERROR(VLOOKUP(C15,VatLieu!$A$4:$B$203,2,FALSE),0))</f>
        <v/>
      </c>
      <c r="F15" s="51" t="str">
        <f>IF(A15="","",D15*E15*(1+IFERROR(VLOOKUP(C15,VatLieu!$A$4:$C$203,3,FALSE),0)/100))</f>
        <v/>
      </c>
      <c r="G15" s="51" t="str">
        <f>IF(A15="","",IFERROR(SUMIF(CongDoan!$A$4:$A$199,A15,CongDoan!$N$4:$N$199),0))</f>
        <v/>
      </c>
      <c r="H15" s="53" t="n">
        <v>0</v>
      </c>
      <c r="I15" s="49" t="n"/>
      <c r="J15" s="51" t="str">
        <f>IF(A15="","",F15+G15+H15)</f>
        <v/>
      </c>
      <c r="K15" s="51" t="str">
        <f>IF(A15="","",J15*DonGia!$H$4/100)</f>
        <v/>
      </c>
      <c r="L15" s="51" t="str">
        <f>IF(A15="","",(J15+K15)*DonGia!$H$5/100)</f>
        <v/>
      </c>
      <c r="M15" s="51" t="str">
        <f>IF(A15="","",J15+K15+L15)</f>
        <v/>
      </c>
      <c r="N15" s="53">
        <f>DonGia!$H$6</f>
        <v>35</v>
      </c>
      <c r="O15" s="51" t="str">
        <f>IF(A15="","",IFERROR(M15/(1-N15/100),0))</f>
        <v/>
      </c>
      <c r="P15" s="51" t="str">
        <f>IF(A15="","",O15*B15)</f>
        <v/>
      </c>
    </row>
    <row r="16">
      <c r="A16" s="49" t="n"/>
      <c r="B16" s="49" t="n"/>
      <c r="C16" s="49" t="n"/>
      <c r="D16" s="49" t="n"/>
      <c r="E16" s="51" t="str">
        <f>IF(C16="","",IFERROR(VLOOKUP(C16,VatLieu!$A$4:$B$203,2,FALSE),0))</f>
        <v/>
      </c>
      <c r="F16" s="51" t="str">
        <f>IF(A16="","",D16*E16*(1+IFERROR(VLOOKUP(C16,VatLieu!$A$4:$C$203,3,FALSE),0)/100))</f>
        <v/>
      </c>
      <c r="G16" s="51" t="str">
        <f>IF(A16="","",IFERROR(SUMIF(CongDoan!$A$4:$A$199,A16,CongDoan!$N$4:$N$199),0))</f>
        <v/>
      </c>
      <c r="H16" s="53" t="n">
        <v>0</v>
      </c>
      <c r="I16" s="49" t="n"/>
      <c r="J16" s="51" t="str">
        <f>IF(A16="","",F16+G16+H16)</f>
        <v/>
      </c>
      <c r="K16" s="51" t="str">
        <f>IF(A16="","",J16*DonGia!$H$4/100)</f>
        <v/>
      </c>
      <c r="L16" s="51" t="str">
        <f>IF(A16="","",(J16+K16)*DonGia!$H$5/100)</f>
        <v/>
      </c>
      <c r="M16" s="51" t="str">
        <f>IF(A16="","",J16+K16+L16)</f>
        <v/>
      </c>
      <c r="N16" s="53">
        <f>DonGia!$H$6</f>
        <v>35</v>
      </c>
      <c r="O16" s="51" t="str">
        <f>IF(A16="","",IFERROR(M16/(1-N16/100),0))</f>
        <v/>
      </c>
      <c r="P16" s="51" t="str">
        <f>IF(A16="","",O16*B16)</f>
        <v/>
      </c>
    </row>
    <row r="17">
      <c r="A17" s="49" t="n"/>
      <c r="B17" s="49" t="n"/>
      <c r="C17" s="49" t="n"/>
      <c r="D17" s="49" t="n"/>
      <c r="E17" s="51" t="str">
        <f>IF(C17="","",IFERROR(VLOOKUP(C17,VatLieu!$A$4:$B$203,2,FALSE),0))</f>
        <v/>
      </c>
      <c r="F17" s="51" t="str">
        <f>IF(A17="","",D17*E17*(1+IFERROR(VLOOKUP(C17,VatLieu!$A$4:$C$203,3,FALSE),0)/100))</f>
        <v/>
      </c>
      <c r="G17" s="51" t="str">
        <f>IF(A17="","",IFERROR(SUMIF(CongDoan!$A$4:$A$199,A17,CongDoan!$N$4:$N$199),0))</f>
        <v/>
      </c>
      <c r="H17" s="53" t="n">
        <v>0</v>
      </c>
      <c r="I17" s="49" t="n"/>
      <c r="J17" s="51" t="str">
        <f>IF(A17="","",F17+G17+H17)</f>
        <v/>
      </c>
      <c r="K17" s="51" t="str">
        <f>IF(A17="","",J17*DonGia!$H$4/100)</f>
        <v/>
      </c>
      <c r="L17" s="51" t="str">
        <f>IF(A17="","",(J17+K17)*DonGia!$H$5/100)</f>
        <v/>
      </c>
      <c r="M17" s="51" t="str">
        <f>IF(A17="","",J17+K17+L17)</f>
        <v/>
      </c>
      <c r="N17" s="53">
        <f>DonGia!$H$6</f>
        <v>35</v>
      </c>
      <c r="O17" s="51" t="str">
        <f>IF(A17="","",IFERROR(M17/(1-N17/100),0))</f>
        <v/>
      </c>
      <c r="P17" s="51" t="str">
        <f>IF(A17="","",O17*B17)</f>
        <v/>
      </c>
    </row>
    <row r="18">
      <c r="A18" s="49" t="n"/>
      <c r="B18" s="49" t="n"/>
      <c r="C18" s="49" t="n"/>
      <c r="D18" s="49" t="n"/>
      <c r="E18" s="51" t="str">
        <f>IF(C18="","",IFERROR(VLOOKUP(C18,VatLieu!$A$4:$B$203,2,FALSE),0))</f>
        <v/>
      </c>
      <c r="F18" s="51" t="str">
        <f>IF(A18="","",D18*E18*(1+IFERROR(VLOOKUP(C18,VatLieu!$A$4:$C$203,3,FALSE),0)/100))</f>
        <v/>
      </c>
      <c r="G18" s="51" t="str">
        <f>IF(A18="","",IFERROR(SUMIF(CongDoan!$A$4:$A$199,A18,CongDoan!$N$4:$N$199),0))</f>
        <v/>
      </c>
      <c r="H18" s="53" t="n">
        <v>0</v>
      </c>
      <c r="I18" s="49" t="n"/>
      <c r="J18" s="51" t="str">
        <f>IF(A18="","",F18+G18+H18)</f>
        <v/>
      </c>
      <c r="K18" s="51" t="str">
        <f>IF(A18="","",J18*DonGia!$H$4/100)</f>
        <v/>
      </c>
      <c r="L18" s="51" t="str">
        <f>IF(A18="","",(J18+K18)*DonGia!$H$5/100)</f>
        <v/>
      </c>
      <c r="M18" s="51" t="str">
        <f>IF(A18="","",J18+K18+L18)</f>
        <v/>
      </c>
      <c r="N18" s="53">
        <f>DonGia!$H$6</f>
        <v>35</v>
      </c>
      <c r="O18" s="51" t="str">
        <f>IF(A18="","",IFERROR(M18/(1-N18/100),0))</f>
        <v/>
      </c>
      <c r="P18" s="51" t="str">
        <f>IF(A18="","",O18*B18)</f>
        <v/>
      </c>
    </row>
    <row r="19">
      <c r="A19" s="49" t="n"/>
      <c r="B19" s="49" t="n"/>
      <c r="C19" s="49" t="n"/>
      <c r="D19" s="49" t="n"/>
      <c r="E19" s="51" t="str">
        <f>IF(C19="","",IFERROR(VLOOKUP(C19,VatLieu!$A$4:$B$203,2,FALSE),0))</f>
        <v/>
      </c>
      <c r="F19" s="51" t="str">
        <f>IF(A19="","",D19*E19*(1+IFERROR(VLOOKUP(C19,VatLieu!$A$4:$C$203,3,FALSE),0)/100))</f>
        <v/>
      </c>
      <c r="G19" s="51" t="str">
        <f>IF(A19="","",IFERROR(SUMIF(CongDoan!$A$4:$A$199,A19,CongDoan!$N$4:$N$199),0))</f>
        <v/>
      </c>
      <c r="H19" s="53" t="n">
        <v>0</v>
      </c>
      <c r="I19" s="49" t="n"/>
      <c r="J19" s="51" t="str">
        <f>IF(A19="","",F19+G19+H19)</f>
        <v/>
      </c>
      <c r="K19" s="51" t="str">
        <f>IF(A19="","",J19*DonGia!$H$4/100)</f>
        <v/>
      </c>
      <c r="L19" s="51" t="str">
        <f>IF(A19="","",(J19+K19)*DonGia!$H$5/100)</f>
        <v/>
      </c>
      <c r="M19" s="51" t="str">
        <f>IF(A19="","",J19+K19+L19)</f>
        <v/>
      </c>
      <c r="N19" s="53">
        <f>DonGia!$H$6</f>
        <v>35</v>
      </c>
      <c r="O19" s="51" t="str">
        <f>IF(A19="","",IFERROR(M19/(1-N19/100),0))</f>
        <v/>
      </c>
      <c r="P19" s="51" t="str">
        <f>IF(A19="","",O19*B19)</f>
        <v/>
      </c>
    </row>
    <row r="20">
      <c r="A20" s="49" t="n"/>
      <c r="B20" s="49" t="n"/>
      <c r="C20" s="49" t="n"/>
      <c r="D20" s="49" t="n"/>
      <c r="E20" s="51" t="str">
        <f>IF(C20="","",IFERROR(VLOOKUP(C20,VatLieu!$A$4:$B$203,2,FALSE),0))</f>
        <v/>
      </c>
      <c r="F20" s="51" t="str">
        <f>IF(A20="","",D20*E20*(1+IFERROR(VLOOKUP(C20,VatLieu!$A$4:$C$203,3,FALSE),0)/100))</f>
        <v/>
      </c>
      <c r="G20" s="51" t="str">
        <f>IF(A20="","",IFERROR(SUMIF(CongDoan!$A$4:$A$199,A20,CongDoan!$N$4:$N$199),0))</f>
        <v/>
      </c>
      <c r="H20" s="53" t="n">
        <v>0</v>
      </c>
      <c r="I20" s="49" t="n"/>
      <c r="J20" s="51" t="str">
        <f>IF(A20="","",F20+G20+H20)</f>
        <v/>
      </c>
      <c r="K20" s="51" t="str">
        <f>IF(A20="","",J20*DonGia!$H$4/100)</f>
        <v/>
      </c>
      <c r="L20" s="51" t="str">
        <f>IF(A20="","",(J20+K20)*DonGia!$H$5/100)</f>
        <v/>
      </c>
      <c r="M20" s="51" t="str">
        <f>IF(A20="","",J20+K20+L20)</f>
        <v/>
      </c>
      <c r="N20" s="53">
        <f>DonGia!$H$6</f>
        <v>35</v>
      </c>
      <c r="O20" s="51" t="str">
        <f>IF(A20="","",IFERROR(M20/(1-N20/100),0))</f>
        <v/>
      </c>
      <c r="P20" s="51" t="str">
        <f>IF(A20="","",O20*B20)</f>
        <v/>
      </c>
    </row>
    <row r="21">
      <c r="A21" s="49" t="n"/>
      <c r="B21" s="49" t="n"/>
      <c r="C21" s="49" t="n"/>
      <c r="D21" s="49" t="n"/>
      <c r="E21" s="51" t="str">
        <f>IF(C21="","",IFERROR(VLOOKUP(C21,VatLieu!$A$4:$B$203,2,FALSE),0))</f>
        <v/>
      </c>
      <c r="F21" s="51" t="str">
        <f>IF(A21="","",D21*E21*(1+IFERROR(VLOOKUP(C21,VatLieu!$A$4:$C$203,3,FALSE),0)/100))</f>
        <v/>
      </c>
      <c r="G21" s="51" t="str">
        <f>IF(A21="","",IFERROR(SUMIF(CongDoan!$A$4:$A$199,A21,CongDoan!$N$4:$N$199),0))</f>
        <v/>
      </c>
      <c r="H21" s="53" t="n">
        <v>0</v>
      </c>
      <c r="I21" s="49" t="n"/>
      <c r="J21" s="51" t="str">
        <f>IF(A21="","",F21+G21+H21)</f>
        <v/>
      </c>
      <c r="K21" s="51" t="str">
        <f>IF(A21="","",J21*DonGia!$H$4/100)</f>
        <v/>
      </c>
      <c r="L21" s="51" t="str">
        <f>IF(A21="","",(J21+K21)*DonGia!$H$5/100)</f>
        <v/>
      </c>
      <c r="M21" s="51" t="str">
        <f>IF(A21="","",J21+K21+L21)</f>
        <v/>
      </c>
      <c r="N21" s="53">
        <f>DonGia!$H$6</f>
        <v>35</v>
      </c>
      <c r="O21" s="51" t="str">
        <f>IF(A21="","",IFERROR(M21/(1-N21/100),0))</f>
        <v/>
      </c>
      <c r="P21" s="51" t="str">
        <f>IF(A21="","",O21*B21)</f>
        <v/>
      </c>
    </row>
    <row r="22">
      <c r="A22" s="49" t="n"/>
      <c r="B22" s="49" t="n"/>
      <c r="C22" s="49" t="n"/>
      <c r="D22" s="49" t="n"/>
      <c r="E22" s="51" t="str">
        <f>IF(C22="","",IFERROR(VLOOKUP(C22,VatLieu!$A$4:$B$203,2,FALSE),0))</f>
        <v/>
      </c>
      <c r="F22" s="51" t="str">
        <f>IF(A22="","",D22*E22*(1+IFERROR(VLOOKUP(C22,VatLieu!$A$4:$C$203,3,FALSE),0)/100))</f>
        <v/>
      </c>
      <c r="G22" s="51" t="str">
        <f>IF(A22="","",IFERROR(SUMIF(CongDoan!$A$4:$A$199,A22,CongDoan!$N$4:$N$199),0))</f>
        <v/>
      </c>
      <c r="H22" s="53" t="n">
        <v>0</v>
      </c>
      <c r="I22" s="49" t="n"/>
      <c r="J22" s="51" t="str">
        <f>IF(A22="","",F22+G22+H22)</f>
        <v/>
      </c>
      <c r="K22" s="51" t="str">
        <f>IF(A22="","",J22*DonGia!$H$4/100)</f>
        <v/>
      </c>
      <c r="L22" s="51" t="str">
        <f>IF(A22="","",(J22+K22)*DonGia!$H$5/100)</f>
        <v/>
      </c>
      <c r="M22" s="51" t="str">
        <f>IF(A22="","",J22+K22+L22)</f>
        <v/>
      </c>
      <c r="N22" s="53">
        <f>DonGia!$H$6</f>
        <v>35</v>
      </c>
      <c r="O22" s="51" t="str">
        <f>IF(A22="","",IFERROR(M22/(1-N22/100),0))</f>
        <v/>
      </c>
      <c r="P22" s="51" t="str">
        <f>IF(A22="","",O22*B22)</f>
        <v/>
      </c>
    </row>
    <row r="23">
      <c r="A23" s="49" t="n"/>
      <c r="B23" s="49" t="n"/>
      <c r="C23" s="49" t="n"/>
      <c r="D23" s="49" t="n"/>
      <c r="E23" s="51" t="str">
        <f>IF(C23="","",IFERROR(VLOOKUP(C23,VatLieu!$A$4:$B$203,2,FALSE),0))</f>
        <v/>
      </c>
      <c r="F23" s="51" t="str">
        <f>IF(A23="","",D23*E23*(1+IFERROR(VLOOKUP(C23,VatLieu!$A$4:$C$203,3,FALSE),0)/100))</f>
        <v/>
      </c>
      <c r="G23" s="51" t="str">
        <f>IF(A23="","",IFERROR(SUMIF(CongDoan!$A$4:$A$199,A23,CongDoan!$N$4:$N$199),0))</f>
        <v/>
      </c>
      <c r="H23" s="53" t="n">
        <v>0</v>
      </c>
      <c r="I23" s="49" t="n"/>
      <c r="J23" s="51" t="str">
        <f>IF(A23="","",F23+G23+H23)</f>
        <v/>
      </c>
      <c r="K23" s="51" t="str">
        <f>IF(A23="","",J23*DonGia!$H$4/100)</f>
        <v/>
      </c>
      <c r="L23" s="51" t="str">
        <f>IF(A23="","",(J23+K23)*DonGia!$H$5/100)</f>
        <v/>
      </c>
      <c r="M23" s="51" t="str">
        <f>IF(A23="","",J23+K23+L23)</f>
        <v/>
      </c>
      <c r="N23" s="53">
        <f>DonGia!$H$6</f>
        <v>35</v>
      </c>
      <c r="O23" s="51" t="str">
        <f>IF(A23="","",IFERROR(M23/(1-N23/100),0))</f>
        <v/>
      </c>
      <c r="P23" s="51" t="str">
        <f>IF(A23="","",O23*B23)</f>
        <v/>
      </c>
    </row>
    <row r="24">
      <c r="A24" s="49" t="n"/>
      <c r="B24" s="49" t="n"/>
      <c r="C24" s="49" t="n"/>
      <c r="D24" s="49" t="n"/>
      <c r="E24" s="51" t="str">
        <f>IF(C24="","",IFERROR(VLOOKUP(C24,VatLieu!$A$4:$B$203,2,FALSE),0))</f>
        <v/>
      </c>
      <c r="F24" s="51" t="str">
        <f>IF(A24="","",D24*E24*(1+IFERROR(VLOOKUP(C24,VatLieu!$A$4:$C$203,3,FALSE),0)/100))</f>
        <v/>
      </c>
      <c r="G24" s="51" t="str">
        <f>IF(A24="","",IFERROR(SUMIF(CongDoan!$A$4:$A$199,A24,CongDoan!$N$4:$N$199),0))</f>
        <v/>
      </c>
      <c r="H24" s="53" t="n">
        <v>0</v>
      </c>
      <c r="I24" s="49" t="n"/>
      <c r="J24" s="51" t="str">
        <f>IF(A24="","",F24+G24+H24)</f>
        <v/>
      </c>
      <c r="K24" s="51" t="str">
        <f>IF(A24="","",J24*DonGia!$H$4/100)</f>
        <v/>
      </c>
      <c r="L24" s="51" t="str">
        <f>IF(A24="","",(J24+K24)*DonGia!$H$5/100)</f>
        <v/>
      </c>
      <c r="M24" s="51" t="str">
        <f>IF(A24="","",J24+K24+L24)</f>
        <v/>
      </c>
      <c r="N24" s="53">
        <f>DonGia!$H$6</f>
        <v>35</v>
      </c>
      <c r="O24" s="51" t="str">
        <f>IF(A24="","",IFERROR(M24/(1-N24/100),0))</f>
        <v/>
      </c>
      <c r="P24" s="51" t="str">
        <f>IF(A24="","",O24*B24)</f>
        <v/>
      </c>
    </row>
    <row r="25">
      <c r="A25" s="49" t="n"/>
      <c r="B25" s="49" t="n"/>
      <c r="C25" s="49" t="n"/>
      <c r="D25" s="49" t="n"/>
      <c r="E25" s="51" t="str">
        <f>IF(C25="","",IFERROR(VLOOKUP(C25,VatLieu!$A$4:$B$203,2,FALSE),0))</f>
        <v/>
      </c>
      <c r="F25" s="51" t="str">
        <f>IF(A25="","",D25*E25*(1+IFERROR(VLOOKUP(C25,VatLieu!$A$4:$C$203,3,FALSE),0)/100))</f>
        <v/>
      </c>
      <c r="G25" s="51" t="str">
        <f>IF(A25="","",IFERROR(SUMIF(CongDoan!$A$4:$A$199,A25,CongDoan!$N$4:$N$199),0))</f>
        <v/>
      </c>
      <c r="H25" s="53" t="n">
        <v>0</v>
      </c>
      <c r="I25" s="49" t="n"/>
      <c r="J25" s="51" t="str">
        <f>IF(A25="","",F25+G25+H25)</f>
        <v/>
      </c>
      <c r="K25" s="51" t="str">
        <f>IF(A25="","",J25*DonGia!$H$4/100)</f>
        <v/>
      </c>
      <c r="L25" s="51" t="str">
        <f>IF(A25="","",(J25+K25)*DonGia!$H$5/100)</f>
        <v/>
      </c>
      <c r="M25" s="51" t="str">
        <f>IF(A25="","",J25+K25+L25)</f>
        <v/>
      </c>
      <c r="N25" s="53">
        <f>DonGia!$H$6</f>
        <v>35</v>
      </c>
      <c r="O25" s="51" t="str">
        <f>IF(A25="","",IFERROR(M25/(1-N25/100),0))</f>
        <v/>
      </c>
      <c r="P25" s="51" t="str">
        <f>IF(A25="","",O25*B25)</f>
        <v/>
      </c>
    </row>
    <row r="26">
      <c r="A26" s="49" t="n"/>
      <c r="B26" s="49" t="n"/>
      <c r="C26" s="49" t="n"/>
      <c r="D26" s="49" t="n"/>
      <c r="E26" s="51" t="str">
        <f>IF(C26="","",IFERROR(VLOOKUP(C26,VatLieu!$A$4:$B$203,2,FALSE),0))</f>
        <v/>
      </c>
      <c r="F26" s="51" t="str">
        <f>IF(A26="","",D26*E26*(1+IFERROR(VLOOKUP(C26,VatLieu!$A$4:$C$203,3,FALSE),0)/100))</f>
        <v/>
      </c>
      <c r="G26" s="51" t="str">
        <f>IF(A26="","",IFERROR(SUMIF(CongDoan!$A$4:$A$199,A26,CongDoan!$N$4:$N$199),0))</f>
        <v/>
      </c>
      <c r="H26" s="53" t="n">
        <v>0</v>
      </c>
      <c r="I26" s="49" t="n"/>
      <c r="J26" s="51" t="str">
        <f>IF(A26="","",F26+G26+H26)</f>
        <v/>
      </c>
      <c r="K26" s="51" t="str">
        <f>IF(A26="","",J26*DonGia!$H$4/100)</f>
        <v/>
      </c>
      <c r="L26" s="51" t="str">
        <f>IF(A26="","",(J26+K26)*DonGia!$H$5/100)</f>
        <v/>
      </c>
      <c r="M26" s="51" t="str">
        <f>IF(A26="","",J26+K26+L26)</f>
        <v/>
      </c>
      <c r="N26" s="53">
        <f>DonGia!$H$6</f>
        <v>35</v>
      </c>
      <c r="O26" s="51" t="str">
        <f>IF(A26="","",IFERROR(M26/(1-N26/100),0))</f>
        <v/>
      </c>
      <c r="P26" s="51" t="str">
        <f>IF(A26="","",O26*B26)</f>
        <v/>
      </c>
    </row>
    <row r="27">
      <c r="A27" s="49" t="n"/>
      <c r="B27" s="49" t="n"/>
      <c r="C27" s="49" t="n"/>
      <c r="D27" s="49" t="n"/>
      <c r="E27" s="51" t="str">
        <f>IF(C27="","",IFERROR(VLOOKUP(C27,VatLieu!$A$4:$B$203,2,FALSE),0))</f>
        <v/>
      </c>
      <c r="F27" s="51" t="str">
        <f>IF(A27="","",D27*E27*(1+IFERROR(VLOOKUP(C27,VatLieu!$A$4:$C$203,3,FALSE),0)/100))</f>
        <v/>
      </c>
      <c r="G27" s="51" t="str">
        <f>IF(A27="","",IFERROR(SUMIF(CongDoan!$A$4:$A$199,A27,CongDoan!$N$4:$N$199),0))</f>
        <v/>
      </c>
      <c r="H27" s="53" t="n">
        <v>0</v>
      </c>
      <c r="I27" s="49" t="n"/>
      <c r="J27" s="51" t="str">
        <f>IF(A27="","",F27+G27+H27)</f>
        <v/>
      </c>
      <c r="K27" s="51" t="str">
        <f>IF(A27="","",J27*DonGia!$H$4/100)</f>
        <v/>
      </c>
      <c r="L27" s="51" t="str">
        <f>IF(A27="","",(J27+K27)*DonGia!$H$5/100)</f>
        <v/>
      </c>
      <c r="M27" s="51" t="str">
        <f>IF(A27="","",J27+K27+L27)</f>
        <v/>
      </c>
      <c r="N27" s="53">
        <f>DonGia!$H$6</f>
        <v>35</v>
      </c>
      <c r="O27" s="51" t="str">
        <f>IF(A27="","",IFERROR(M27/(1-N27/100),0))</f>
        <v/>
      </c>
      <c r="P27" s="51" t="str">
        <f>IF(A27="","",O27*B27)</f>
        <v/>
      </c>
    </row>
    <row r="28">
      <c r="A28" s="49" t="n"/>
      <c r="B28" s="49" t="n"/>
      <c r="C28" s="49" t="n"/>
      <c r="D28" s="49" t="n"/>
      <c r="E28" s="51" t="str">
        <f>IF(C28="","",IFERROR(VLOOKUP(C28,VatLieu!$A$4:$B$203,2,FALSE),0))</f>
        <v/>
      </c>
      <c r="F28" s="51" t="str">
        <f>IF(A28="","",D28*E28*(1+IFERROR(VLOOKUP(C28,VatLieu!$A$4:$C$203,3,FALSE),0)/100))</f>
        <v/>
      </c>
      <c r="G28" s="51" t="str">
        <f>IF(A28="","",IFERROR(SUMIF(CongDoan!$A$4:$A$199,A28,CongDoan!$N$4:$N$199),0))</f>
        <v/>
      </c>
      <c r="H28" s="53" t="n">
        <v>0</v>
      </c>
      <c r="I28" s="49" t="n"/>
      <c r="J28" s="51" t="str">
        <f>IF(A28="","",F28+G28+H28)</f>
        <v/>
      </c>
      <c r="K28" s="51" t="str">
        <f>IF(A28="","",J28*DonGia!$H$4/100)</f>
        <v/>
      </c>
      <c r="L28" s="51" t="str">
        <f>IF(A28="","",(J28+K28)*DonGia!$H$5/100)</f>
        <v/>
      </c>
      <c r="M28" s="51" t="str">
        <f>IF(A28="","",J28+K28+L28)</f>
        <v/>
      </c>
      <c r="N28" s="53">
        <f>DonGia!$H$6</f>
        <v>35</v>
      </c>
      <c r="O28" s="51" t="str">
        <f>IF(A28="","",IFERROR(M28/(1-N28/100),0))</f>
        <v/>
      </c>
      <c r="P28" s="51" t="str">
        <f>IF(A28="","",O28*B28)</f>
        <v/>
      </c>
    </row>
    <row r="29">
      <c r="A29" s="49" t="n"/>
      <c r="B29" s="49" t="n"/>
      <c r="C29" s="49" t="n"/>
      <c r="D29" s="49" t="n"/>
      <c r="E29" s="51" t="str">
        <f>IF(C29="","",IFERROR(VLOOKUP(C29,VatLieu!$A$4:$B$203,2,FALSE),0))</f>
        <v/>
      </c>
      <c r="F29" s="51" t="str">
        <f>IF(A29="","",D29*E29*(1+IFERROR(VLOOKUP(C29,VatLieu!$A$4:$C$203,3,FALSE),0)/100))</f>
        <v/>
      </c>
      <c r="G29" s="51" t="str">
        <f>IF(A29="","",IFERROR(SUMIF(CongDoan!$A$4:$A$199,A29,CongDoan!$N$4:$N$199),0))</f>
        <v/>
      </c>
      <c r="H29" s="53" t="n">
        <v>0</v>
      </c>
      <c r="I29" s="49" t="n"/>
      <c r="J29" s="51" t="str">
        <f>IF(A29="","",F29+G29+H29)</f>
        <v/>
      </c>
      <c r="K29" s="51" t="str">
        <f>IF(A29="","",J29*DonGia!$H$4/100)</f>
        <v/>
      </c>
      <c r="L29" s="51" t="str">
        <f>IF(A29="","",(J29+K29)*DonGia!$H$5/100)</f>
        <v/>
      </c>
      <c r="M29" s="51" t="str">
        <f>IF(A29="","",J29+K29+L29)</f>
        <v/>
      </c>
      <c r="N29" s="53">
        <f>DonGia!$H$6</f>
        <v>35</v>
      </c>
      <c r="O29" s="51" t="str">
        <f>IF(A29="","",IFERROR(M29/(1-N29/100),0))</f>
        <v/>
      </c>
      <c r="P29" s="51" t="str">
        <f>IF(A29="","",O29*B29)</f>
        <v/>
      </c>
    </row>
    <row r="30">
      <c r="A30" s="49" t="n"/>
      <c r="B30" s="49" t="n"/>
      <c r="C30" s="49" t="n"/>
      <c r="D30" s="49" t="n"/>
      <c r="E30" s="51" t="str">
        <f>IF(C30="","",IFERROR(VLOOKUP(C30,VatLieu!$A$4:$B$203,2,FALSE),0))</f>
        <v/>
      </c>
      <c r="F30" s="51" t="str">
        <f>IF(A30="","",D30*E30*(1+IFERROR(VLOOKUP(C30,VatLieu!$A$4:$C$203,3,FALSE),0)/100))</f>
        <v/>
      </c>
      <c r="G30" s="51" t="str">
        <f>IF(A30="","",IFERROR(SUMIF(CongDoan!$A$4:$A$199,A30,CongDoan!$N$4:$N$199),0))</f>
        <v/>
      </c>
      <c r="H30" s="53" t="n">
        <v>0</v>
      </c>
      <c r="I30" s="49" t="n"/>
      <c r="J30" s="51" t="str">
        <f>IF(A30="","",F30+G30+H30)</f>
        <v/>
      </c>
      <c r="K30" s="51" t="str">
        <f>IF(A30="","",J30*DonGia!$H$4/100)</f>
        <v/>
      </c>
      <c r="L30" s="51" t="str">
        <f>IF(A30="","",(J30+K30)*DonGia!$H$5/100)</f>
        <v/>
      </c>
      <c r="M30" s="51" t="str">
        <f>IF(A30="","",J30+K30+L30)</f>
        <v/>
      </c>
      <c r="N30" s="53">
        <f>DonGia!$H$6</f>
        <v>35</v>
      </c>
      <c r="O30" s="51" t="str">
        <f>IF(A30="","",IFERROR(M30/(1-N30/100),0))</f>
        <v/>
      </c>
      <c r="P30" s="51" t="str">
        <f>IF(A30="","",O30*B30)</f>
        <v/>
      </c>
    </row>
    <row r="31">
      <c r="A31" s="49" t="n"/>
      <c r="B31" s="49" t="n"/>
      <c r="C31" s="49" t="n"/>
      <c r="D31" s="49" t="n"/>
      <c r="E31" s="51" t="str">
        <f>IF(C31="","",IFERROR(VLOOKUP(C31,VatLieu!$A$4:$B$203,2,FALSE),0))</f>
        <v/>
      </c>
      <c r="F31" s="51" t="str">
        <f>IF(A31="","",D31*E31*(1+IFERROR(VLOOKUP(C31,VatLieu!$A$4:$C$203,3,FALSE),0)/100))</f>
        <v/>
      </c>
      <c r="G31" s="51" t="str">
        <f>IF(A31="","",IFERROR(SUMIF(CongDoan!$A$4:$A$199,A31,CongDoan!$N$4:$N$199),0))</f>
        <v/>
      </c>
      <c r="H31" s="53" t="n">
        <v>0</v>
      </c>
      <c r="I31" s="49" t="n"/>
      <c r="J31" s="51" t="str">
        <f>IF(A31="","",F31+G31+H31)</f>
        <v/>
      </c>
      <c r="K31" s="51" t="str">
        <f>IF(A31="","",J31*DonGia!$H$4/100)</f>
        <v/>
      </c>
      <c r="L31" s="51" t="str">
        <f>IF(A31="","",(J31+K31)*DonGia!$H$5/100)</f>
        <v/>
      </c>
      <c r="M31" s="51" t="str">
        <f>IF(A31="","",J31+K31+L31)</f>
        <v/>
      </c>
      <c r="N31" s="53">
        <f>DonGia!$H$6</f>
        <v>35</v>
      </c>
      <c r="O31" s="51" t="str">
        <f>IF(A31="","",IFERROR(M31/(1-N31/100),0))</f>
        <v/>
      </c>
      <c r="P31" s="51" t="str">
        <f>IF(A31="","",O31*B31)</f>
        <v/>
      </c>
    </row>
    <row r="32">
      <c r="A32" s="49" t="n"/>
      <c r="B32" s="49" t="n"/>
      <c r="C32" s="49" t="n"/>
      <c r="D32" s="49" t="n"/>
      <c r="E32" s="51" t="str">
        <f>IF(C32="","",IFERROR(VLOOKUP(C32,VatLieu!$A$4:$B$203,2,FALSE),0))</f>
        <v/>
      </c>
      <c r="F32" s="51" t="str">
        <f>IF(A32="","",D32*E32*(1+IFERROR(VLOOKUP(C32,VatLieu!$A$4:$C$203,3,FALSE),0)/100))</f>
        <v/>
      </c>
      <c r="G32" s="51" t="str">
        <f>IF(A32="","",IFERROR(SUMIF(CongDoan!$A$4:$A$199,A32,CongDoan!$N$4:$N$199),0))</f>
        <v/>
      </c>
      <c r="H32" s="53" t="n">
        <v>0</v>
      </c>
      <c r="I32" s="49" t="n"/>
      <c r="J32" s="51" t="str">
        <f>IF(A32="","",F32+G32+H32)</f>
        <v/>
      </c>
      <c r="K32" s="51" t="str">
        <f>IF(A32="","",J32*DonGia!$H$4/100)</f>
        <v/>
      </c>
      <c r="L32" s="51" t="str">
        <f>IF(A32="","",(J32+K32)*DonGia!$H$5/100)</f>
        <v/>
      </c>
      <c r="M32" s="51" t="str">
        <f>IF(A32="","",J32+K32+L32)</f>
        <v/>
      </c>
      <c r="N32" s="53">
        <f>DonGia!$H$6</f>
        <v>35</v>
      </c>
      <c r="O32" s="51" t="str">
        <f>IF(A32="","",IFERROR(M32/(1-N32/100),0))</f>
        <v/>
      </c>
      <c r="P32" s="51" t="str">
        <f>IF(A32="","",O32*B32)</f>
        <v/>
      </c>
    </row>
    <row r="33">
      <c r="A33" s="49" t="n"/>
      <c r="B33" s="49" t="n"/>
      <c r="C33" s="49" t="n"/>
      <c r="D33" s="49" t="n"/>
      <c r="E33" s="51" t="str">
        <f>IF(C33="","",IFERROR(VLOOKUP(C33,VatLieu!$A$4:$B$203,2,FALSE),0))</f>
        <v/>
      </c>
      <c r="F33" s="51" t="str">
        <f>IF(A33="","",D33*E33*(1+IFERROR(VLOOKUP(C33,VatLieu!$A$4:$C$203,3,FALSE),0)/100))</f>
        <v/>
      </c>
      <c r="G33" s="51" t="str">
        <f>IF(A33="","",IFERROR(SUMIF(CongDoan!$A$4:$A$199,A33,CongDoan!$N$4:$N$199),0))</f>
        <v/>
      </c>
      <c r="H33" s="53" t="n">
        <v>0</v>
      </c>
      <c r="I33" s="49" t="n"/>
      <c r="J33" s="51" t="str">
        <f>IF(A33="","",F33+G33+H33)</f>
        <v/>
      </c>
      <c r="K33" s="51" t="str">
        <f>IF(A33="","",J33*DonGia!$H$4/100)</f>
        <v/>
      </c>
      <c r="L33" s="51" t="str">
        <f>IF(A33="","",(J33+K33)*DonGia!$H$5/100)</f>
        <v/>
      </c>
      <c r="M33" s="51" t="str">
        <f>IF(A33="","",J33+K33+L33)</f>
        <v/>
      </c>
      <c r="N33" s="53">
        <f>DonGia!$H$6</f>
        <v>35</v>
      </c>
      <c r="O33" s="51" t="str">
        <f>IF(A33="","",IFERROR(M33/(1-N33/100),0))</f>
        <v/>
      </c>
      <c r="P33" s="51" t="str">
        <f>IF(A33="","",O33*B33)</f>
        <v/>
      </c>
    </row>
    <row r="34">
      <c r="A34" s="49" t="n"/>
      <c r="B34" s="49" t="n"/>
      <c r="C34" s="49" t="n"/>
      <c r="D34" s="49" t="n"/>
      <c r="E34" s="51" t="str">
        <f>IF(C34="","",IFERROR(VLOOKUP(C34,VatLieu!$A$4:$B$203,2,FALSE),0))</f>
        <v/>
      </c>
      <c r="F34" s="51" t="str">
        <f>IF(A34="","",D34*E34*(1+IFERROR(VLOOKUP(C34,VatLieu!$A$4:$C$203,3,FALSE),0)/100))</f>
        <v/>
      </c>
      <c r="G34" s="51" t="str">
        <f>IF(A34="","",IFERROR(SUMIF(CongDoan!$A$4:$A$199,A34,CongDoan!$N$4:$N$199),0))</f>
        <v/>
      </c>
      <c r="H34" s="53" t="n">
        <v>0</v>
      </c>
      <c r="I34" s="49" t="n"/>
      <c r="J34" s="51" t="str">
        <f>IF(A34="","",F34+G34+H34)</f>
        <v/>
      </c>
      <c r="K34" s="51" t="str">
        <f>IF(A34="","",J34*DonGia!$H$4/100)</f>
        <v/>
      </c>
      <c r="L34" s="51" t="str">
        <f>IF(A34="","",(J34+K34)*DonGia!$H$5/100)</f>
        <v/>
      </c>
      <c r="M34" s="51" t="str">
        <f>IF(A34="","",J34+K34+L34)</f>
        <v/>
      </c>
      <c r="N34" s="53">
        <f>DonGia!$H$6</f>
        <v>35</v>
      </c>
      <c r="O34" s="51" t="str">
        <f>IF(A34="","",IFERROR(M34/(1-N34/100),0))</f>
        <v/>
      </c>
      <c r="P34" s="51" t="str">
        <f>IF(A34="","",O34*B34)</f>
        <v/>
      </c>
    </row>
    <row r="35">
      <c r="A35" s="49" t="n"/>
      <c r="B35" s="49" t="n"/>
      <c r="C35" s="49" t="n"/>
      <c r="D35" s="49" t="n"/>
      <c r="E35" s="51" t="str">
        <f>IF(C35="","",IFERROR(VLOOKUP(C35,VatLieu!$A$4:$B$203,2,FALSE),0))</f>
        <v/>
      </c>
      <c r="F35" s="51" t="str">
        <f>IF(A35="","",D35*E35*(1+IFERROR(VLOOKUP(C35,VatLieu!$A$4:$C$203,3,FALSE),0)/100))</f>
        <v/>
      </c>
      <c r="G35" s="51" t="str">
        <f>IF(A35="","",IFERROR(SUMIF(CongDoan!$A$4:$A$199,A35,CongDoan!$N$4:$N$199),0))</f>
        <v/>
      </c>
      <c r="H35" s="53" t="n">
        <v>0</v>
      </c>
      <c r="I35" s="49" t="n"/>
      <c r="J35" s="51" t="str">
        <f>IF(A35="","",F35+G35+H35)</f>
        <v/>
      </c>
      <c r="K35" s="51" t="str">
        <f>IF(A35="","",J35*DonGia!$H$4/100)</f>
        <v/>
      </c>
      <c r="L35" s="51" t="str">
        <f>IF(A35="","",(J35+K35)*DonGia!$H$5/100)</f>
        <v/>
      </c>
      <c r="M35" s="51" t="str">
        <f>IF(A35="","",J35+K35+L35)</f>
        <v/>
      </c>
      <c r="N35" s="53">
        <f>DonGia!$H$6</f>
        <v>35</v>
      </c>
      <c r="O35" s="51" t="str">
        <f>IF(A35="","",IFERROR(M35/(1-N35/100),0))</f>
        <v/>
      </c>
      <c r="P35" s="51" t="str">
        <f>IF(A35="","",O35*B35)</f>
        <v/>
      </c>
    </row>
    <row r="36">
      <c r="A36" s="49" t="n"/>
      <c r="B36" s="49" t="n"/>
      <c r="C36" s="49" t="n"/>
      <c r="D36" s="49" t="n"/>
      <c r="E36" s="51" t="str">
        <f>IF(C36="","",IFERROR(VLOOKUP(C36,VatLieu!$A$4:$B$203,2,FALSE),0))</f>
        <v/>
      </c>
      <c r="F36" s="51" t="str">
        <f>IF(A36="","",D36*E36*(1+IFERROR(VLOOKUP(C36,VatLieu!$A$4:$C$203,3,FALSE),0)/100))</f>
        <v/>
      </c>
      <c r="G36" s="51" t="str">
        <f>IF(A36="","",IFERROR(SUMIF(CongDoan!$A$4:$A$199,A36,CongDoan!$N$4:$N$199),0))</f>
        <v/>
      </c>
      <c r="H36" s="53" t="n">
        <v>0</v>
      </c>
      <c r="I36" s="49" t="n"/>
      <c r="J36" s="51" t="str">
        <f>IF(A36="","",F36+G36+H36)</f>
        <v/>
      </c>
      <c r="K36" s="51" t="str">
        <f>IF(A36="","",J36*DonGia!$H$4/100)</f>
        <v/>
      </c>
      <c r="L36" s="51" t="str">
        <f>IF(A36="","",(J36+K36)*DonGia!$H$5/100)</f>
        <v/>
      </c>
      <c r="M36" s="51" t="str">
        <f>IF(A36="","",J36+K36+L36)</f>
        <v/>
      </c>
      <c r="N36" s="53">
        <f>DonGia!$H$6</f>
        <v>35</v>
      </c>
      <c r="O36" s="51" t="str">
        <f>IF(A36="","",IFERROR(M36/(1-N36/100),0))</f>
        <v/>
      </c>
      <c r="P36" s="51" t="str">
        <f>IF(A36="","",O36*B36)</f>
        <v/>
      </c>
    </row>
    <row r="37">
      <c r="A37" s="49" t="n"/>
      <c r="B37" s="49" t="n"/>
      <c r="C37" s="49" t="n"/>
      <c r="D37" s="49" t="n"/>
      <c r="E37" s="51" t="str">
        <f>IF(C37="","",IFERROR(VLOOKUP(C37,VatLieu!$A$4:$B$203,2,FALSE),0))</f>
        <v/>
      </c>
      <c r="F37" s="51" t="str">
        <f>IF(A37="","",D37*E37*(1+IFERROR(VLOOKUP(C37,VatLieu!$A$4:$C$203,3,FALSE),0)/100))</f>
        <v/>
      </c>
      <c r="G37" s="51" t="str">
        <f>IF(A37="","",IFERROR(SUMIF(CongDoan!$A$4:$A$199,A37,CongDoan!$N$4:$N$199),0))</f>
        <v/>
      </c>
      <c r="H37" s="53" t="n">
        <v>0</v>
      </c>
      <c r="I37" s="49" t="n"/>
      <c r="J37" s="51" t="str">
        <f>IF(A37="","",F37+G37+H37)</f>
        <v/>
      </c>
      <c r="K37" s="51" t="str">
        <f>IF(A37="","",J37*DonGia!$H$4/100)</f>
        <v/>
      </c>
      <c r="L37" s="51" t="str">
        <f>IF(A37="","",(J37+K37)*DonGia!$H$5/100)</f>
        <v/>
      </c>
      <c r="M37" s="51" t="str">
        <f>IF(A37="","",J37+K37+L37)</f>
        <v/>
      </c>
      <c r="N37" s="53">
        <f>DonGia!$H$6</f>
        <v>35</v>
      </c>
      <c r="O37" s="51" t="str">
        <f>IF(A37="","",IFERROR(M37/(1-N37/100),0))</f>
        <v/>
      </c>
      <c r="P37" s="51" t="str">
        <f>IF(A37="","",O37*B37)</f>
        <v/>
      </c>
    </row>
    <row r="38">
      <c r="A38" s="49" t="n"/>
      <c r="B38" s="49" t="n"/>
      <c r="C38" s="49" t="n"/>
      <c r="D38" s="49" t="n"/>
      <c r="E38" s="51" t="str">
        <f>IF(C38="","",IFERROR(VLOOKUP(C38,VatLieu!$A$4:$B$203,2,FALSE),0))</f>
        <v/>
      </c>
      <c r="F38" s="51" t="str">
        <f>IF(A38="","",D38*E38*(1+IFERROR(VLOOKUP(C38,VatLieu!$A$4:$C$203,3,FALSE),0)/100))</f>
        <v/>
      </c>
      <c r="G38" s="51" t="str">
        <f>IF(A38="","",IFERROR(SUMIF(CongDoan!$A$4:$A$199,A38,CongDoan!$N$4:$N$199),0))</f>
        <v/>
      </c>
      <c r="H38" s="53" t="n">
        <v>0</v>
      </c>
      <c r="I38" s="49" t="n"/>
      <c r="J38" s="51" t="str">
        <f>IF(A38="","",F38+G38+H38)</f>
        <v/>
      </c>
      <c r="K38" s="51" t="str">
        <f>IF(A38="","",J38*DonGia!$H$4/100)</f>
        <v/>
      </c>
      <c r="L38" s="51" t="str">
        <f>IF(A38="","",(J38+K38)*DonGia!$H$5/100)</f>
        <v/>
      </c>
      <c r="M38" s="51" t="str">
        <f>IF(A38="","",J38+K38+L38)</f>
        <v/>
      </c>
      <c r="N38" s="53">
        <f>DonGia!$H$6</f>
        <v>35</v>
      </c>
      <c r="O38" s="51" t="str">
        <f>IF(A38="","",IFERROR(M38/(1-N38/100),0))</f>
        <v/>
      </c>
      <c r="P38" s="51" t="str">
        <f>IF(A38="","",O38*B38)</f>
        <v/>
      </c>
    </row>
    <row r="39">
      <c r="A39" s="49" t="n"/>
      <c r="B39" s="49" t="n"/>
      <c r="C39" s="49" t="n"/>
      <c r="D39" s="49" t="n"/>
      <c r="E39" s="51" t="str">
        <f>IF(C39="","",IFERROR(VLOOKUP(C39,VatLieu!$A$4:$B$203,2,FALSE),0))</f>
        <v/>
      </c>
      <c r="F39" s="51" t="str">
        <f>IF(A39="","",D39*E39*(1+IFERROR(VLOOKUP(C39,VatLieu!$A$4:$C$203,3,FALSE),0)/100))</f>
        <v/>
      </c>
      <c r="G39" s="51" t="str">
        <f>IF(A39="","",IFERROR(SUMIF(CongDoan!$A$4:$A$199,A39,CongDoan!$N$4:$N$199),0))</f>
        <v/>
      </c>
      <c r="H39" s="53" t="n">
        <v>0</v>
      </c>
      <c r="I39" s="49" t="n"/>
      <c r="J39" s="51" t="str">
        <f>IF(A39="","",F39+G39+H39)</f>
        <v/>
      </c>
      <c r="K39" s="51" t="str">
        <f>IF(A39="","",J39*DonGia!$H$4/100)</f>
        <v/>
      </c>
      <c r="L39" s="51" t="str">
        <f>IF(A39="","",(J39+K39)*DonGia!$H$5/100)</f>
        <v/>
      </c>
      <c r="M39" s="51" t="str">
        <f>IF(A39="","",J39+K39+L39)</f>
        <v/>
      </c>
      <c r="N39" s="53">
        <f>DonGia!$H$6</f>
        <v>35</v>
      </c>
      <c r="O39" s="51" t="str">
        <f>IF(A39="","",IFERROR(M39/(1-N39/100),0))</f>
        <v/>
      </c>
      <c r="P39" s="51" t="str">
        <f>IF(A39="","",O39*B39)</f>
        <v/>
      </c>
    </row>
    <row r="40">
      <c r="A40" s="49" t="n"/>
      <c r="B40" s="49" t="n"/>
      <c r="C40" s="49" t="n"/>
      <c r="D40" s="49" t="n"/>
      <c r="E40" s="51" t="str">
        <f>IF(C40="","",IFERROR(VLOOKUP(C40,VatLieu!$A$4:$B$203,2,FALSE),0))</f>
        <v/>
      </c>
      <c r="F40" s="51" t="str">
        <f>IF(A40="","",D40*E40*(1+IFERROR(VLOOKUP(C40,VatLieu!$A$4:$C$203,3,FALSE),0)/100))</f>
        <v/>
      </c>
      <c r="G40" s="51" t="str">
        <f>IF(A40="","",IFERROR(SUMIF(CongDoan!$A$4:$A$199,A40,CongDoan!$N$4:$N$199),0))</f>
        <v/>
      </c>
      <c r="H40" s="53" t="n">
        <v>0</v>
      </c>
      <c r="I40" s="49" t="n"/>
      <c r="J40" s="51" t="str">
        <f>IF(A40="","",F40+G40+H40)</f>
        <v/>
      </c>
      <c r="K40" s="51" t="str">
        <f>IF(A40="","",J40*DonGia!$H$4/100)</f>
        <v/>
      </c>
      <c r="L40" s="51" t="str">
        <f>IF(A40="","",(J40+K40)*DonGia!$H$5/100)</f>
        <v/>
      </c>
      <c r="M40" s="51" t="str">
        <f>IF(A40="","",J40+K40+L40)</f>
        <v/>
      </c>
      <c r="N40" s="53">
        <f>DonGia!$H$6</f>
        <v>35</v>
      </c>
      <c r="O40" s="51" t="str">
        <f>IF(A40="","",IFERROR(M40/(1-N40/100),0))</f>
        <v/>
      </c>
      <c r="P40" s="51" t="str">
        <f>IF(A40="","",O40*B40)</f>
        <v/>
      </c>
    </row>
    <row r="41">
      <c r="A41" s="49" t="n"/>
      <c r="B41" s="49" t="n"/>
      <c r="C41" s="49" t="n"/>
      <c r="D41" s="49" t="n"/>
      <c r="E41" s="51" t="str">
        <f>IF(C41="","",IFERROR(VLOOKUP(C41,VatLieu!$A$4:$B$203,2,FALSE),0))</f>
        <v/>
      </c>
      <c r="F41" s="51" t="str">
        <f>IF(A41="","",D41*E41*(1+IFERROR(VLOOKUP(C41,VatLieu!$A$4:$C$203,3,FALSE),0)/100))</f>
        <v/>
      </c>
      <c r="G41" s="51" t="str">
        <f>IF(A41="","",IFERROR(SUMIF(CongDoan!$A$4:$A$199,A41,CongDoan!$N$4:$N$199),0))</f>
        <v/>
      </c>
      <c r="H41" s="53" t="n">
        <v>0</v>
      </c>
      <c r="I41" s="49" t="n"/>
      <c r="J41" s="51" t="str">
        <f>IF(A41="","",F41+G41+H41)</f>
        <v/>
      </c>
      <c r="K41" s="51" t="str">
        <f>IF(A41="","",J41*DonGia!$H$4/100)</f>
        <v/>
      </c>
      <c r="L41" s="51" t="str">
        <f>IF(A41="","",(J41+K41)*DonGia!$H$5/100)</f>
        <v/>
      </c>
      <c r="M41" s="51" t="str">
        <f>IF(A41="","",J41+K41+L41)</f>
        <v/>
      </c>
      <c r="N41" s="53">
        <f>DonGia!$H$6</f>
        <v>35</v>
      </c>
      <c r="O41" s="51" t="str">
        <f>IF(A41="","",IFERROR(M41/(1-N41/100),0))</f>
        <v/>
      </c>
      <c r="P41" s="51" t="str">
        <f>IF(A41="","",O41*B41)</f>
        <v/>
      </c>
    </row>
    <row r="42">
      <c r="A42" s="49" t="n"/>
      <c r="B42" s="49" t="n"/>
      <c r="C42" s="49" t="n"/>
      <c r="D42" s="49" t="n"/>
      <c r="E42" s="51" t="str">
        <f>IF(C42="","",IFERROR(VLOOKUP(C42,VatLieu!$A$4:$B$203,2,FALSE),0))</f>
        <v/>
      </c>
      <c r="F42" s="51" t="str">
        <f>IF(A42="","",D42*E42*(1+IFERROR(VLOOKUP(C42,VatLieu!$A$4:$C$203,3,FALSE),0)/100))</f>
        <v/>
      </c>
      <c r="G42" s="51" t="str">
        <f>IF(A42="","",IFERROR(SUMIF(CongDoan!$A$4:$A$199,A42,CongDoan!$N$4:$N$199),0))</f>
        <v/>
      </c>
      <c r="H42" s="53" t="n">
        <v>0</v>
      </c>
      <c r="I42" s="49" t="n"/>
      <c r="J42" s="51" t="str">
        <f>IF(A42="","",F42+G42+H42)</f>
        <v/>
      </c>
      <c r="K42" s="51" t="str">
        <f>IF(A42="","",J42*DonGia!$H$4/100)</f>
        <v/>
      </c>
      <c r="L42" s="51" t="str">
        <f>IF(A42="","",(J42+K42)*DonGia!$H$5/100)</f>
        <v/>
      </c>
      <c r="M42" s="51" t="str">
        <f>IF(A42="","",J42+K42+L42)</f>
        <v/>
      </c>
      <c r="N42" s="53">
        <f>DonGia!$H$6</f>
        <v>35</v>
      </c>
      <c r="O42" s="51" t="str">
        <f>IF(A42="","",IFERROR(M42/(1-N42/100),0))</f>
        <v/>
      </c>
      <c r="P42" s="51" t="str">
        <f>IF(A42="","",O42*B42)</f>
        <v/>
      </c>
    </row>
    <row r="43">
      <c r="A43" s="49" t="n"/>
      <c r="B43" s="49" t="n"/>
      <c r="C43" s="49" t="n"/>
      <c r="D43" s="49" t="n"/>
      <c r="E43" s="51" t="str">
        <f>IF(C43="","",IFERROR(VLOOKUP(C43,VatLieu!$A$4:$B$203,2,FALSE),0))</f>
        <v/>
      </c>
      <c r="F43" s="51" t="str">
        <f>IF(A43="","",D43*E43*(1+IFERROR(VLOOKUP(C43,VatLieu!$A$4:$C$203,3,FALSE),0)/100))</f>
        <v/>
      </c>
      <c r="G43" s="51" t="str">
        <f>IF(A43="","",IFERROR(SUMIF(CongDoan!$A$4:$A$199,A43,CongDoan!$N$4:$N$199),0))</f>
        <v/>
      </c>
      <c r="H43" s="53" t="n">
        <v>0</v>
      </c>
      <c r="I43" s="49" t="n"/>
      <c r="J43" s="51" t="str">
        <f>IF(A43="","",F43+G43+H43)</f>
        <v/>
      </c>
      <c r="K43" s="51" t="str">
        <f>IF(A43="","",J43*DonGia!$H$4/100)</f>
        <v/>
      </c>
      <c r="L43" s="51" t="str">
        <f>IF(A43="","",(J43+K43)*DonGia!$H$5/100)</f>
        <v/>
      </c>
      <c r="M43" s="51" t="str">
        <f>IF(A43="","",J43+K43+L43)</f>
        <v/>
      </c>
      <c r="N43" s="53">
        <f>DonGia!$H$6</f>
        <v>35</v>
      </c>
      <c r="O43" s="51" t="str">
        <f>IF(A43="","",IFERROR(M43/(1-N43/100),0))</f>
        <v/>
      </c>
      <c r="P43" s="51" t="str">
        <f>IF(A43="","",O43*B43)</f>
        <v/>
      </c>
    </row>
    <row r="44">
      <c r="A44" s="49" t="n"/>
      <c r="B44" s="49" t="n"/>
      <c r="C44" s="49" t="n"/>
      <c r="D44" s="49" t="n"/>
      <c r="E44" s="51" t="str">
        <f>IF(C44="","",IFERROR(VLOOKUP(C44,VatLieu!$A$4:$B$203,2,FALSE),0))</f>
        <v/>
      </c>
      <c r="F44" s="51" t="str">
        <f>IF(A44="","",D44*E44*(1+IFERROR(VLOOKUP(C44,VatLieu!$A$4:$C$203,3,FALSE),0)/100))</f>
        <v/>
      </c>
      <c r="G44" s="51" t="str">
        <f>IF(A44="","",IFERROR(SUMIF(CongDoan!$A$4:$A$199,A44,CongDoan!$N$4:$N$199),0))</f>
        <v/>
      </c>
      <c r="H44" s="53" t="n">
        <v>0</v>
      </c>
      <c r="I44" s="49" t="n"/>
      <c r="J44" s="51" t="str">
        <f>IF(A44="","",F44+G44+H44)</f>
        <v/>
      </c>
      <c r="K44" s="51" t="str">
        <f>IF(A44="","",J44*DonGia!$H$4/100)</f>
        <v/>
      </c>
      <c r="L44" s="51" t="str">
        <f>IF(A44="","",(J44+K44)*DonGia!$H$5/100)</f>
        <v/>
      </c>
      <c r="M44" s="51" t="str">
        <f>IF(A44="","",J44+K44+L44)</f>
        <v/>
      </c>
      <c r="N44" s="53">
        <f>DonGia!$H$6</f>
        <v>35</v>
      </c>
      <c r="O44" s="51" t="str">
        <f>IF(A44="","",IFERROR(M44/(1-N44/100),0))</f>
        <v/>
      </c>
      <c r="P44" s="51" t="str">
        <f>IF(A44="","",O44*B44)</f>
        <v/>
      </c>
    </row>
    <row r="45">
      <c r="A45" s="49" t="n"/>
      <c r="B45" s="49" t="n"/>
      <c r="C45" s="49" t="n"/>
      <c r="D45" s="49" t="n"/>
      <c r="E45" s="51" t="str">
        <f>IF(C45="","",IFERROR(VLOOKUP(C45,VatLieu!$A$4:$B$203,2,FALSE),0))</f>
        <v/>
      </c>
      <c r="F45" s="51" t="str">
        <f>IF(A45="","",D45*E45*(1+IFERROR(VLOOKUP(C45,VatLieu!$A$4:$C$203,3,FALSE),0)/100))</f>
        <v/>
      </c>
      <c r="G45" s="51" t="str">
        <f>IF(A45="","",IFERROR(SUMIF(CongDoan!$A$4:$A$199,A45,CongDoan!$N$4:$N$199),0))</f>
        <v/>
      </c>
      <c r="H45" s="53" t="n">
        <v>0</v>
      </c>
      <c r="I45" s="49" t="n"/>
      <c r="J45" s="51" t="str">
        <f>IF(A45="","",F45+G45+H45)</f>
        <v/>
      </c>
      <c r="K45" s="51" t="str">
        <f>IF(A45="","",J45*DonGia!$H$4/100)</f>
        <v/>
      </c>
      <c r="L45" s="51" t="str">
        <f>IF(A45="","",(J45+K45)*DonGia!$H$5/100)</f>
        <v/>
      </c>
      <c r="M45" s="51" t="str">
        <f>IF(A45="","",J45+K45+L45)</f>
        <v/>
      </c>
      <c r="N45" s="53">
        <f>DonGia!$H$6</f>
        <v>35</v>
      </c>
      <c r="O45" s="51" t="str">
        <f>IF(A45="","",IFERROR(M45/(1-N45/100),0))</f>
        <v/>
      </c>
      <c r="P45" s="51" t="str">
        <f>IF(A45="","",O45*B45)</f>
        <v/>
      </c>
    </row>
    <row r="46">
      <c r="A46" s="49" t="n"/>
      <c r="B46" s="49" t="n"/>
      <c r="C46" s="49" t="n"/>
      <c r="D46" s="49" t="n"/>
      <c r="E46" s="51" t="str">
        <f>IF(C46="","",IFERROR(VLOOKUP(C46,VatLieu!$A$4:$B$203,2,FALSE),0))</f>
        <v/>
      </c>
      <c r="F46" s="51" t="str">
        <f>IF(A46="","",D46*E46*(1+IFERROR(VLOOKUP(C46,VatLieu!$A$4:$C$203,3,FALSE),0)/100))</f>
        <v/>
      </c>
      <c r="G46" s="51" t="str">
        <f>IF(A46="","",IFERROR(SUMIF(CongDoan!$A$4:$A$199,A46,CongDoan!$N$4:$N$199),0))</f>
        <v/>
      </c>
      <c r="H46" s="53" t="n">
        <v>0</v>
      </c>
      <c r="I46" s="49" t="n"/>
      <c r="J46" s="51" t="str">
        <f>IF(A46="","",F46+G46+H46)</f>
        <v/>
      </c>
      <c r="K46" s="51" t="str">
        <f>IF(A46="","",J46*DonGia!$H$4/100)</f>
        <v/>
      </c>
      <c r="L46" s="51" t="str">
        <f>IF(A46="","",(J46+K46)*DonGia!$H$5/100)</f>
        <v/>
      </c>
      <c r="M46" s="51" t="str">
        <f>IF(A46="","",J46+K46+L46)</f>
        <v/>
      </c>
      <c r="N46" s="53">
        <f>DonGia!$H$6</f>
        <v>35</v>
      </c>
      <c r="O46" s="51" t="str">
        <f>IF(A46="","",IFERROR(M46/(1-N46/100),0))</f>
        <v/>
      </c>
      <c r="P46" s="51" t="str">
        <f>IF(A46="","",O46*B46)</f>
        <v/>
      </c>
    </row>
    <row r="47">
      <c r="A47" s="49" t="n"/>
      <c r="B47" s="49" t="n"/>
      <c r="C47" s="49" t="n"/>
      <c r="D47" s="49" t="n"/>
      <c r="E47" s="51" t="str">
        <f>IF(C47="","",IFERROR(VLOOKUP(C47,VatLieu!$A$4:$B$203,2,FALSE),0))</f>
        <v/>
      </c>
      <c r="F47" s="51" t="str">
        <f>IF(A47="","",D47*E47*(1+IFERROR(VLOOKUP(C47,VatLieu!$A$4:$C$203,3,FALSE),0)/100))</f>
        <v/>
      </c>
      <c r="G47" s="51" t="str">
        <f>IF(A47="","",IFERROR(SUMIF(CongDoan!$A$4:$A$199,A47,CongDoan!$N$4:$N$199),0))</f>
        <v/>
      </c>
      <c r="H47" s="53" t="n">
        <v>0</v>
      </c>
      <c r="I47" s="49" t="n"/>
      <c r="J47" s="51" t="str">
        <f>IF(A47="","",F47+G47+H47)</f>
        <v/>
      </c>
      <c r="K47" s="51" t="str">
        <f>IF(A47="","",J47*DonGia!$H$4/100)</f>
        <v/>
      </c>
      <c r="L47" s="51" t="str">
        <f>IF(A47="","",(J47+K47)*DonGia!$H$5/100)</f>
        <v/>
      </c>
      <c r="M47" s="51" t="str">
        <f>IF(A47="","",J47+K47+L47)</f>
        <v/>
      </c>
      <c r="N47" s="53">
        <f>DonGia!$H$6</f>
        <v>35</v>
      </c>
      <c r="O47" s="51" t="str">
        <f>IF(A47="","",IFERROR(M47/(1-N47/100),0))</f>
        <v/>
      </c>
      <c r="P47" s="51" t="str">
        <f>IF(A47="","",O47*B47)</f>
        <v/>
      </c>
    </row>
    <row r="48">
      <c r="A48" s="49" t="n"/>
      <c r="B48" s="49" t="n"/>
      <c r="C48" s="49" t="n"/>
      <c r="D48" s="49" t="n"/>
      <c r="E48" s="51" t="str">
        <f>IF(C48="","",IFERROR(VLOOKUP(C48,VatLieu!$A$4:$B$203,2,FALSE),0))</f>
        <v/>
      </c>
      <c r="F48" s="51" t="str">
        <f>IF(A48="","",D48*E48*(1+IFERROR(VLOOKUP(C48,VatLieu!$A$4:$C$203,3,FALSE),0)/100))</f>
        <v/>
      </c>
      <c r="G48" s="51" t="str">
        <f>IF(A48="","",IFERROR(SUMIF(CongDoan!$A$4:$A$199,A48,CongDoan!$N$4:$N$199),0))</f>
        <v/>
      </c>
      <c r="H48" s="53" t="n">
        <v>0</v>
      </c>
      <c r="I48" s="49" t="n"/>
      <c r="J48" s="51" t="str">
        <f>IF(A48="","",F48+G48+H48)</f>
        <v/>
      </c>
      <c r="K48" s="51" t="str">
        <f>IF(A48="","",J48*DonGia!$H$4/100)</f>
        <v/>
      </c>
      <c r="L48" s="51" t="str">
        <f>IF(A48="","",(J48+K48)*DonGia!$H$5/100)</f>
        <v/>
      </c>
      <c r="M48" s="51" t="str">
        <f>IF(A48="","",J48+K48+L48)</f>
        <v/>
      </c>
      <c r="N48" s="53">
        <f>DonGia!$H$6</f>
        <v>35</v>
      </c>
      <c r="O48" s="51" t="str">
        <f>IF(A48="","",IFERROR(M48/(1-N48/100),0))</f>
        <v/>
      </c>
      <c r="P48" s="51" t="str">
        <f>IF(A48="","",O48*B48)</f>
        <v/>
      </c>
    </row>
    <row r="49">
      <c r="A49" s="49" t="n"/>
      <c r="B49" s="49" t="n"/>
      <c r="C49" s="49" t="n"/>
      <c r="D49" s="49" t="n"/>
      <c r="E49" s="51" t="str">
        <f>IF(C49="","",IFERROR(VLOOKUP(C49,VatLieu!$A$4:$B$203,2,FALSE),0))</f>
        <v/>
      </c>
      <c r="F49" s="51" t="str">
        <f>IF(A49="","",D49*E49*(1+IFERROR(VLOOKUP(C49,VatLieu!$A$4:$C$203,3,FALSE),0)/100))</f>
        <v/>
      </c>
      <c r="G49" s="51" t="str">
        <f>IF(A49="","",IFERROR(SUMIF(CongDoan!$A$4:$A$199,A49,CongDoan!$N$4:$N$199),0))</f>
        <v/>
      </c>
      <c r="H49" s="53" t="n">
        <v>0</v>
      </c>
      <c r="I49" s="49" t="n"/>
      <c r="J49" s="51" t="str">
        <f>IF(A49="","",F49+G49+H49)</f>
        <v/>
      </c>
      <c r="K49" s="51" t="str">
        <f>IF(A49="","",J49*DonGia!$H$4/100)</f>
        <v/>
      </c>
      <c r="L49" s="51" t="str">
        <f>IF(A49="","",(J49+K49)*DonGia!$H$5/100)</f>
        <v/>
      </c>
      <c r="M49" s="51" t="str">
        <f>IF(A49="","",J49+K49+L49)</f>
        <v/>
      </c>
      <c r="N49" s="53">
        <f>DonGia!$H$6</f>
        <v>35</v>
      </c>
      <c r="O49" s="51" t="str">
        <f>IF(A49="","",IFERROR(M49/(1-N49/100),0))</f>
        <v/>
      </c>
      <c r="P49" s="51" t="str">
        <f>IF(A49="","",O49*B49)</f>
        <v/>
      </c>
    </row>
    <row r="50">
      <c r="A50" s="49" t="n"/>
      <c r="B50" s="49" t="n"/>
      <c r="C50" s="49" t="n"/>
      <c r="D50" s="49" t="n"/>
      <c r="E50" s="51" t="str">
        <f>IF(C50="","",IFERROR(VLOOKUP(C50,VatLieu!$A$4:$B$203,2,FALSE),0))</f>
        <v/>
      </c>
      <c r="F50" s="51" t="str">
        <f>IF(A50="","",D50*E50*(1+IFERROR(VLOOKUP(C50,VatLieu!$A$4:$C$203,3,FALSE),0)/100))</f>
        <v/>
      </c>
      <c r="G50" s="51" t="str">
        <f>IF(A50="","",IFERROR(SUMIF(CongDoan!$A$4:$A$199,A50,CongDoan!$N$4:$N$199),0))</f>
        <v/>
      </c>
      <c r="H50" s="53" t="n">
        <v>0</v>
      </c>
      <c r="I50" s="49" t="n"/>
      <c r="J50" s="51" t="str">
        <f>IF(A50="","",F50+G50+H50)</f>
        <v/>
      </c>
      <c r="K50" s="51" t="str">
        <f>IF(A50="","",J50*DonGia!$H$4/100)</f>
        <v/>
      </c>
      <c r="L50" s="51" t="str">
        <f>IF(A50="","",(J50+K50)*DonGia!$H$5/100)</f>
        <v/>
      </c>
      <c r="M50" s="51" t="str">
        <f>IF(A50="","",J50+K50+L50)</f>
        <v/>
      </c>
      <c r="N50" s="53">
        <f>DonGia!$H$6</f>
        <v>35</v>
      </c>
      <c r="O50" s="51" t="str">
        <f>IF(A50="","",IFERROR(M50/(1-N50/100),0))</f>
        <v/>
      </c>
      <c r="P50" s="51" t="str">
        <f>IF(A50="","",O50*B50)</f>
        <v/>
      </c>
    </row>
    <row r="51">
      <c r="A51" s="49" t="n"/>
      <c r="B51" s="49" t="n"/>
      <c r="C51" s="49" t="n"/>
      <c r="D51" s="49" t="n"/>
      <c r="E51" s="51" t="str">
        <f>IF(C51="","",IFERROR(VLOOKUP(C51,VatLieu!$A$4:$B$203,2,FALSE),0))</f>
        <v/>
      </c>
      <c r="F51" s="51" t="str">
        <f>IF(A51="","",D51*E51*(1+IFERROR(VLOOKUP(C51,VatLieu!$A$4:$C$203,3,FALSE),0)/100))</f>
        <v/>
      </c>
      <c r="G51" s="51" t="str">
        <f>IF(A51="","",IFERROR(SUMIF(CongDoan!$A$4:$A$199,A51,CongDoan!$N$4:$N$199),0))</f>
        <v/>
      </c>
      <c r="H51" s="53" t="n">
        <v>0</v>
      </c>
      <c r="I51" s="49" t="n"/>
      <c r="J51" s="51" t="str">
        <f>IF(A51="","",F51+G51+H51)</f>
        <v/>
      </c>
      <c r="K51" s="51" t="str">
        <f>IF(A51="","",J51*DonGia!$H$4/100)</f>
        <v/>
      </c>
      <c r="L51" s="51" t="str">
        <f>IF(A51="","",(J51+K51)*DonGia!$H$5/100)</f>
        <v/>
      </c>
      <c r="M51" s="51" t="str">
        <f>IF(A51="","",J51+K51+L51)</f>
        <v/>
      </c>
      <c r="N51" s="53">
        <f>DonGia!$H$6</f>
        <v>35</v>
      </c>
      <c r="O51" s="51" t="str">
        <f>IF(A51="","",IFERROR(M51/(1-N51/100),0))</f>
        <v/>
      </c>
      <c r="P51" s="51" t="str">
        <f>IF(A51="","",O51*B51)</f>
        <v/>
      </c>
    </row>
    <row r="52">
      <c r="A52" s="49" t="n"/>
      <c r="B52" s="49" t="n"/>
      <c r="C52" s="49" t="n"/>
      <c r="D52" s="49" t="n"/>
      <c r="E52" s="51" t="str">
        <f>IF(C52="","",IFERROR(VLOOKUP(C52,VatLieu!$A$4:$B$203,2,FALSE),0))</f>
        <v/>
      </c>
      <c r="F52" s="51" t="str">
        <f>IF(A52="","",D52*E52*(1+IFERROR(VLOOKUP(C52,VatLieu!$A$4:$C$203,3,FALSE),0)/100))</f>
        <v/>
      </c>
      <c r="G52" s="51" t="str">
        <f>IF(A52="","",IFERROR(SUMIF(CongDoan!$A$4:$A$199,A52,CongDoan!$N$4:$N$199),0))</f>
        <v/>
      </c>
      <c r="H52" s="53" t="n">
        <v>0</v>
      </c>
      <c r="I52" s="49" t="n"/>
      <c r="J52" s="51" t="str">
        <f>IF(A52="","",F52+G52+H52)</f>
        <v/>
      </c>
      <c r="K52" s="51" t="str">
        <f>IF(A52="","",J52*DonGia!$H$4/100)</f>
        <v/>
      </c>
      <c r="L52" s="51" t="str">
        <f>IF(A52="","",(J52+K52)*DonGia!$H$5/100)</f>
        <v/>
      </c>
      <c r="M52" s="51" t="str">
        <f>IF(A52="","",J52+K52+L52)</f>
        <v/>
      </c>
      <c r="N52" s="53">
        <f>DonGia!$H$6</f>
        <v>35</v>
      </c>
      <c r="O52" s="51" t="str">
        <f>IF(A52="","",IFERROR(M52/(1-N52/100),0))</f>
        <v/>
      </c>
      <c r="P52" s="51" t="str">
        <f>IF(A52="","",O52*B52)</f>
        <v/>
      </c>
    </row>
    <row r="53">
      <c r="A53" s="49" t="n"/>
      <c r="B53" s="49" t="n"/>
      <c r="C53" s="49" t="n"/>
      <c r="D53" s="49" t="n"/>
      <c r="E53" s="51" t="str">
        <f>IF(C53="","",IFERROR(VLOOKUP(C53,VatLieu!$A$4:$B$203,2,FALSE),0))</f>
        <v/>
      </c>
      <c r="F53" s="51" t="str">
        <f>IF(A53="","",D53*E53*(1+IFERROR(VLOOKUP(C53,VatLieu!$A$4:$C$203,3,FALSE),0)/100))</f>
        <v/>
      </c>
      <c r="G53" s="51" t="str">
        <f>IF(A53="","",IFERROR(SUMIF(CongDoan!$A$4:$A$199,A53,CongDoan!$N$4:$N$199),0))</f>
        <v/>
      </c>
      <c r="H53" s="53" t="n">
        <v>0</v>
      </c>
      <c r="I53" s="49" t="n"/>
      <c r="J53" s="51" t="str">
        <f>IF(A53="","",F53+G53+H53)</f>
        <v/>
      </c>
      <c r="K53" s="51" t="str">
        <f>IF(A53="","",J53*DonGia!$H$4/100)</f>
        <v/>
      </c>
      <c r="L53" s="51" t="str">
        <f>IF(A53="","",(J53+K53)*DonGia!$H$5/100)</f>
        <v/>
      </c>
      <c r="M53" s="51" t="str">
        <f>IF(A53="","",J53+K53+L53)</f>
        <v/>
      </c>
      <c r="N53" s="53">
        <f>DonGia!$H$6</f>
        <v>35</v>
      </c>
      <c r="O53" s="51" t="str">
        <f>IF(A53="","",IFERROR(M53/(1-N53/100),0))</f>
        <v/>
      </c>
      <c r="P53" s="51" t="str">
        <f>IF(A53="","",O53*B53)</f>
        <v/>
      </c>
    </row>
    <row r="54"/>
    <row r="55"/>
    <row r="56">
      <c r="A56" s="54" t="inlineStr">
        <is>
          <t>Ghi chú:</t>
        </is>
      </c>
      <c r="B56" s="40" t="inlineStr">
        <is>
          <t>Nhập cùng mã hàng ở TinhGia và CongDoan. Chi phí OP đã gồm setup nhập tại CongDoan; cột setup bổ sung chỉ dùng cho chi phí chưa nhập ở OP.</t>
        </is>
      </c>
      <c r="P56" s="47" t="n"/>
    </row>
  </sheetData>
  <mergeCells count="2">
    <mergeCell ref="A1:P1"/>
    <mergeCell ref="B56:P56"/>
  </mergeCells>
  <conditionalFormatting sqref="C4:C53">
    <cfRule type="expression" priority="1" dxfId="0">
      <formula>AND(C4&lt;&gt;"",COUNTIF(VatLieu!$A$4:$A$203,C4)=0)</formula>
    </cfRule>
  </conditionalFormatting>
  <conditionalFormatting sqref="A4:A53">
    <cfRule type="expression" priority="2" dxfId="0">
      <formula>AND(A4&lt;&gt;"",COUNTIF(CongDoan!$A$4:$A$199,A4)=0)</formula>
    </cfRule>
  </conditionalFormatting>
  <dataValidations count="2">
    <dataValidation sqref="C4:C53" showDropDown="0" showInputMessage="0" showErrorMessage="1" allowBlank="1" errorTitle="Vật liệu không có" error="Vật liệu này chưa có trong sheet VatLieu. Hãy thêm ở VatLieu trước." type="list" errorStyle="stop">
      <formula1>DS_VatLieu</formula1>
    </dataValidation>
    <dataValidation sqref="A4:A53" showDropDown="0" showInputMessage="0" showErrorMessage="1" allowBlank="1" errorTitle="Mã hàng chưa có công đoạn" error="Mã hàng này chưa có trong sheet CongDoan nên chi phí gia công sẽ = 0. Vẫn nhập?" type="list" errorStyle="warning">
      <formula1>DS_MaHang</formula1>
    </dataValidation>
  </dataValidation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stt_CD</t>
        </is>
      </c>
      <c r="B1" t="inlineStr">
        <is>
          <t>DS_CongDoan</t>
        </is>
      </c>
      <c r="C1" t="inlineStr">
        <is>
          <t>stt_VL</t>
        </is>
      </c>
      <c r="D1" t="inlineStr">
        <is>
          <t>DS_VatLieu</t>
        </is>
      </c>
      <c r="E1" t="inlineStr">
        <is>
          <t>stt_MH</t>
        </is>
      </c>
      <c r="F1" t="inlineStr">
        <is>
          <t>DS_MaHang</t>
        </is>
      </c>
      <c r="H1" t="inlineStr">
        <is>
          <t>Số lượng</t>
        </is>
      </c>
    </row>
    <row r="2">
      <c r="A2">
        <f>IF(TRIM(INDEX(DonGia!$A:$A,4))="","",IF(COUNTIF(INDEX(DonGia!$A:$A,4):INDEX(DonGia!$A:$A,4),INDEX(DonGia!$A:$A,4))=1,MAX($A$1:A1)+1,""))</f>
        <v>1</v>
      </c>
      <c r="B2" t="str">
        <f>IFERROR(INDEX(DonGia!$A:$A,MATCH(ROW()-1,$A$2:$A$201,0)+3),"")</f>
        <v>Tiện CNC</v>
      </c>
      <c r="C2">
        <f>IF(TRIM(INDEX(VatLieu!$A:$A,4))="","",IF(COUNTIF(INDEX(VatLieu!$A:$A,4):INDEX(VatLieu!$A:$A,4),INDEX(VatLieu!$A:$A,4))=1,MAX($C$1:C1)+1,""))</f>
        <v>1</v>
      </c>
      <c r="D2" t="str">
        <f>IFERROR(INDEX(VatLieu!$A:$A,MATCH(ROW()-1,$C$2:$C$201,0)+3),"")</f>
        <v>SUS304</v>
      </c>
      <c r="E2">
        <f>IF(TRIM(INDEX(CongDoan!$A:$A,4))="","",IF(COUNTIF(INDEX(CongDoan!$A:$A,4):INDEX(CongDoan!$A:$A,4),INDEX(CongDoan!$A:$A,4))=1,MAX($E$1:E1)+1,""))</f>
        <v>1</v>
      </c>
      <c r="F2" t="str">
        <f>IFERROR(INDEX(CongDoan!$A:$A,MATCH(ROW()-1,$E$2:$E$197,0)+3),"")</f>
        <v>Bro1</v>
      </c>
      <c r="H2">
        <f>MAX($A$2:$A$201)</f>
        <v>15</v>
      </c>
    </row>
    <row r="3">
      <c r="A3">
        <f>IF(TRIM(INDEX(DonGia!$A:$A,5))="","",IF(COUNTIF(INDEX(DonGia!$A:$A,4):INDEX(DonGia!$A:$A,5),INDEX(DonGia!$A:$A,5))=1,MAX($A$1:A2)+1,""))</f>
        <v>2</v>
      </c>
      <c r="B3" t="str">
        <f>IFERROR(INDEX(DonGia!$A:$A,MATCH(ROW()-1,$A$2:$A$201,0)+3),"")</f>
        <v>Phay cơ</v>
      </c>
      <c r="C3">
        <f>IF(TRIM(INDEX(VatLieu!$A:$A,5))="","",IF(COUNTIF(INDEX(VatLieu!$A:$A,4):INDEX(VatLieu!$A:$A,5),INDEX(VatLieu!$A:$A,5))=1,MAX($C$1:C2)+1,""))</f>
        <v>2</v>
      </c>
      <c r="D3" t="str">
        <f>IFERROR(INDEX(VatLieu!$A:$A,MATCH(ROW()-1,$C$2:$C$201,0)+3),"")</f>
        <v>SUS316</v>
      </c>
      <c r="E3" t="str">
        <f>IF(TRIM(INDEX(CongDoan!$A:$A,5))="","",IF(COUNTIF(INDEX(CongDoan!$A:$A,4):INDEX(CongDoan!$A:$A,5),INDEX(CongDoan!$A:$A,5))=1,MAX($E$1:E2)+1,""))</f>
        <v/>
      </c>
      <c r="F3" t="str">
        <f>IFERROR(INDEX(CongDoan!$A:$A,MATCH(ROW()-1,$E$2:$E$197,0)+3),"")</f>
        <v/>
      </c>
      <c r="H3">
        <f>MAX($C$2:$C$201)</f>
        <v>10</v>
      </c>
    </row>
    <row r="4">
      <c r="A4">
        <f>IF(TRIM(INDEX(DonGia!$A:$A,6))="","",IF(COUNTIF(INDEX(DonGia!$A:$A,4):INDEX(DonGia!$A:$A,6),INDEX(DonGia!$A:$A,6))=1,MAX($A$1:A3)+1,""))</f>
        <v>3</v>
      </c>
      <c r="B4" t="str">
        <f>IFERROR(INDEX(DonGia!$A:$A,MATCH(ROW()-1,$A$2:$A$201,0)+3),"")</f>
        <v>Phay CNC 4 trục</v>
      </c>
      <c r="C4">
        <f>IF(TRIM(INDEX(VatLieu!$A:$A,6))="","",IF(COUNTIF(INDEX(VatLieu!$A:$A,4):INDEX(VatLieu!$A:$A,6),INDEX(VatLieu!$A:$A,6))=1,MAX($C$1:C3)+1,""))</f>
        <v>3</v>
      </c>
      <c r="D4" t="str">
        <f>IFERROR(INDEX(VatLieu!$A:$A,MATCH(ROW()-1,$C$2:$C$201,0)+3),"")</f>
        <v>Thép S45C</v>
      </c>
      <c r="E4" t="str">
        <f>IF(TRIM(INDEX(CongDoan!$A:$A,6))="","",IF(COUNTIF(INDEX(CongDoan!$A:$A,4):INDEX(CongDoan!$A:$A,6),INDEX(CongDoan!$A:$A,6))=1,MAX($E$1:E3)+1,""))</f>
        <v/>
      </c>
      <c r="F4" t="str">
        <f>IFERROR(INDEX(CongDoan!$A:$A,MATCH(ROW()-1,$E$2:$E$197,0)+3),"")</f>
        <v/>
      </c>
      <c r="H4">
        <f>MAX($E$2:$E$197)</f>
        <v>1</v>
      </c>
    </row>
    <row r="5">
      <c r="A5">
        <f>IF(TRIM(INDEX(DonGia!$A:$A,7))="","",IF(COUNTIF(INDEX(DonGia!$A:$A,4):INDEX(DonGia!$A:$A,7),INDEX(DonGia!$A:$A,7))=1,MAX($A$1:A4)+1,""))</f>
        <v>4</v>
      </c>
      <c r="B5" t="str">
        <f>IFERROR(INDEX(DonGia!$A:$A,MATCH(ROW()-1,$A$2:$A$201,0)+3),"")</f>
        <v>Phay CNC 5 trục</v>
      </c>
      <c r="C5">
        <f>IF(TRIM(INDEX(VatLieu!$A:$A,7))="","",IF(COUNTIF(INDEX(VatLieu!$A:$A,4):INDEX(VatLieu!$A:$A,7),INDEX(VatLieu!$A:$A,7))=1,MAX($C$1:C4)+1,""))</f>
        <v>4</v>
      </c>
      <c r="D5" t="str">
        <f>IFERROR(INDEX(VatLieu!$A:$A,MATCH(ROW()-1,$C$2:$C$201,0)+3),"")</f>
        <v>SKD11</v>
      </c>
      <c r="E5" t="str">
        <f>IF(TRIM(INDEX(CongDoan!$A:$A,7))="","",IF(COUNTIF(INDEX(CongDoan!$A:$A,4):INDEX(CongDoan!$A:$A,7),INDEX(CongDoan!$A:$A,7))=1,MAX($E$1:E4)+1,""))</f>
        <v/>
      </c>
      <c r="F5" t="str">
        <f>IFERROR(INDEX(CongDoan!$A:$A,MATCH(ROW()-1,$E$2:$E$197,0)+3),"")</f>
        <v/>
      </c>
    </row>
    <row r="6">
      <c r="A6">
        <f>IF(TRIM(INDEX(DonGia!$A:$A,8))="","",IF(COUNTIF(INDEX(DonGia!$A:$A,4):INDEX(DonGia!$A:$A,8),INDEX(DonGia!$A:$A,8))=1,MAX($A$1:A5)+1,""))</f>
        <v>5</v>
      </c>
      <c r="B6" t="str">
        <f>IFERROR(INDEX(DonGia!$A:$A,MATCH(ROW()-1,$A$2:$A$201,0)+3),"")</f>
        <v>Mài phẳng</v>
      </c>
      <c r="C6">
        <f>IF(TRIM(INDEX(VatLieu!$A:$A,8))="","",IF(COUNTIF(INDEX(VatLieu!$A:$A,4):INDEX(VatLieu!$A:$A,8),INDEX(VatLieu!$A:$A,8))=1,MAX($C$1:C5)+1,""))</f>
        <v>5</v>
      </c>
      <c r="D6" t="str">
        <f>IFERROR(INDEX(VatLieu!$A:$A,MATCH(ROW()-1,$C$2:$C$201,0)+3),"")</f>
        <v>SKD61</v>
      </c>
      <c r="E6" t="str">
        <f>IF(TRIM(INDEX(CongDoan!$A:$A,8))="","",IF(COUNTIF(INDEX(CongDoan!$A:$A,4):INDEX(CongDoan!$A:$A,8),INDEX(CongDoan!$A:$A,8))=1,MAX($E$1:E5)+1,""))</f>
        <v/>
      </c>
      <c r="F6" t="str">
        <f>IFERROR(INDEX(CongDoan!$A:$A,MATCH(ROW()-1,$E$2:$E$197,0)+3),"")</f>
        <v/>
      </c>
    </row>
    <row r="7">
      <c r="A7">
        <f>IF(TRIM(INDEX(DonGia!$A:$A,9))="","",IF(COUNTIF(INDEX(DonGia!$A:$A,4):INDEX(DonGia!$A:$A,9),INDEX(DonGia!$A:$A,9))=1,MAX($A$1:A6)+1,""))</f>
        <v>6</v>
      </c>
      <c r="B7" t="str">
        <f>IFERROR(INDEX(DonGia!$A:$A,MATCH(ROW()-1,$A$2:$A$201,0)+3),"")</f>
        <v>Mài tròn</v>
      </c>
      <c r="C7">
        <f>IF(TRIM(INDEX(VatLieu!$A:$A,9))="","",IF(COUNTIF(INDEX(VatLieu!$A:$A,4):INDEX(VatLieu!$A:$A,9),INDEX(VatLieu!$A:$A,9))=1,MAX($C$1:C6)+1,""))</f>
        <v>6</v>
      </c>
      <c r="D7" t="str">
        <f>IFERROR(INDEX(VatLieu!$A:$A,MATCH(ROW()-1,$C$2:$C$201,0)+3),"")</f>
        <v>Nhôm 6061</v>
      </c>
      <c r="E7" t="str">
        <f>IF(TRIM(INDEX(CongDoan!$A:$A,9))="","",IF(COUNTIF(INDEX(CongDoan!$A:$A,4):INDEX(CongDoan!$A:$A,9),INDEX(CongDoan!$A:$A,9))=1,MAX($E$1:E6)+1,""))</f>
        <v/>
      </c>
      <c r="F7" t="str">
        <f>IFERROR(INDEX(CongDoan!$A:$A,MATCH(ROW()-1,$E$2:$E$197,0)+3),"")</f>
        <v/>
      </c>
    </row>
    <row r="8">
      <c r="A8">
        <f>IF(TRIM(INDEX(DonGia!$A:$A,10))="","",IF(COUNTIF(INDEX(DonGia!$A:$A,4):INDEX(DonGia!$A:$A,10),INDEX(DonGia!$A:$A,10))=1,MAX($A$1:A7)+1,""))</f>
        <v>7</v>
      </c>
      <c r="B8" t="str">
        <f>IFERROR(INDEX(DonGia!$A:$A,MATCH(ROW()-1,$A$2:$A$201,0)+3),"")</f>
        <v>Cắt dây EDM</v>
      </c>
      <c r="C8">
        <f>IF(TRIM(INDEX(VatLieu!$A:$A,10))="","",IF(COUNTIF(INDEX(VatLieu!$A:$A,4):INDEX(VatLieu!$A:$A,10),INDEX(VatLieu!$A:$A,10))=1,MAX($C$1:C7)+1,""))</f>
        <v>7</v>
      </c>
      <c r="D8" t="str">
        <f>IFERROR(INDEX(VatLieu!$A:$A,MATCH(ROW()-1,$C$2:$C$201,0)+3),"")</f>
        <v>Đồng</v>
      </c>
      <c r="E8" t="str">
        <f>IF(TRIM(INDEX(CongDoan!$A:$A,10))="","",IF(COUNTIF(INDEX(CongDoan!$A:$A,4):INDEX(CongDoan!$A:$A,10),INDEX(CongDoan!$A:$A,10))=1,MAX($E$1:E7)+1,""))</f>
        <v/>
      </c>
      <c r="F8" t="str">
        <f>IFERROR(INDEX(CongDoan!$A:$A,MATCH(ROW()-1,$E$2:$E$197,0)+3),"")</f>
        <v/>
      </c>
    </row>
    <row r="9">
      <c r="A9">
        <f>IF(TRIM(INDEX(DonGia!$A:$A,11))="","",IF(COUNTIF(INDEX(DonGia!$A:$A,4):INDEX(DonGia!$A:$A,11),INDEX(DonGia!$A:$A,11))=1,MAX($A$1:A8)+1,""))</f>
        <v>8</v>
      </c>
      <c r="B9" t="str">
        <f>IFERROR(INDEX(DonGia!$A:$A,MATCH(ROW()-1,$A$2:$A$201,0)+3),"")</f>
        <v>Khoan CNC</v>
      </c>
      <c r="C9">
        <f>IF(TRIM(INDEX(VatLieu!$A:$A,11))="","",IF(COUNTIF(INDEX(VatLieu!$A:$A,4):INDEX(VatLieu!$A:$A,11),INDEX(VatLieu!$A:$A,11))=1,MAX($C$1:C8)+1,""))</f>
        <v>8</v>
      </c>
      <c r="D9" t="str">
        <f>IFERROR(INDEX(VatLieu!$A:$A,MATCH(ROW()-1,$C$2:$C$201,0)+3),"")</f>
        <v>Nhựa POM</v>
      </c>
      <c r="E9" t="str">
        <f>IF(TRIM(INDEX(CongDoan!$A:$A,11))="","",IF(COUNTIF(INDEX(CongDoan!$A:$A,4):INDEX(CongDoan!$A:$A,11),INDEX(CongDoan!$A:$A,11))=1,MAX($E$1:E8)+1,""))</f>
        <v/>
      </c>
      <c r="F9" t="str">
        <f>IFERROR(INDEX(CongDoan!$A:$A,MATCH(ROW()-1,$E$2:$E$197,0)+3),"")</f>
        <v/>
      </c>
    </row>
    <row r="10">
      <c r="A10">
        <f>IF(TRIM(INDEX(DonGia!$A:$A,12))="","",IF(COUNTIF(INDEX(DonGia!$A:$A,4):INDEX(DonGia!$A:$A,12),INDEX(DonGia!$A:$A,12))=1,MAX($A$1:A9)+1,""))</f>
        <v>9</v>
      </c>
      <c r="B10" t="str">
        <f>IFERROR(INDEX(DonGia!$A:$A,MATCH(ROW()-1,$A$2:$A$201,0)+3),"")</f>
        <v>Taro CNC</v>
      </c>
      <c r="C10">
        <f>IF(TRIM(INDEX(VatLieu!$A:$A,12))="","",IF(COUNTIF(INDEX(VatLieu!$A:$A,4):INDEX(VatLieu!$A:$A,12),INDEX(VatLieu!$A:$A,12))=1,MAX($C$1:C9)+1,""))</f>
        <v>9</v>
      </c>
      <c r="D10" t="str">
        <f>IFERROR(INDEX(VatLieu!$A:$A,MATCH(ROW()-1,$C$2:$C$201,0)+3),"")</f>
        <v>Phíp cam</v>
      </c>
      <c r="E10" t="str">
        <f>IF(TRIM(INDEX(CongDoan!$A:$A,12))="","",IF(COUNTIF(INDEX(CongDoan!$A:$A,4):INDEX(CongDoan!$A:$A,12),INDEX(CongDoan!$A:$A,12))=1,MAX($E$1:E9)+1,""))</f>
        <v/>
      </c>
      <c r="F10" t="str">
        <f>IFERROR(INDEX(CongDoan!$A:$A,MATCH(ROW()-1,$E$2:$E$197,0)+3),"")</f>
        <v/>
      </c>
    </row>
    <row r="11">
      <c r="A11">
        <f>IF(TRIM(INDEX(DonGia!$A:$A,13))="","",IF(COUNTIF(INDEX(DonGia!$A:$A,4):INDEX(DonGia!$A:$A,13),INDEX(DonGia!$A:$A,13))=1,MAX($A$1:A10)+1,""))</f>
        <v>10</v>
      </c>
      <c r="B11" t="str">
        <f>IFERROR(INDEX(DonGia!$A:$A,MATCH(ROW()-1,$A$2:$A$201,0)+3),"")</f>
        <v>Khoan/taro máy cơ</v>
      </c>
      <c r="C11">
        <f>IF(TRIM(INDEX(VatLieu!$A:$A,13))="","",IF(COUNTIF(INDEX(VatLieu!$A:$A,4):INDEX(VatLieu!$A:$A,13),INDEX(VatLieu!$A:$A,13))=1,MAX($C$1:C10)+1,""))</f>
        <v>10</v>
      </c>
      <c r="D11" t="str">
        <f>IFERROR(INDEX(VatLieu!$A:$A,MATCH(ROW()-1,$C$2:$C$201,0)+3),"")</f>
        <v>Khác</v>
      </c>
      <c r="E11" t="str">
        <f>IF(TRIM(INDEX(CongDoan!$A:$A,13))="","",IF(COUNTIF(INDEX(CongDoan!$A:$A,4):INDEX(CongDoan!$A:$A,13),INDEX(CongDoan!$A:$A,13))=1,MAX($E$1:E10)+1,""))</f>
        <v/>
      </c>
      <c r="F11" t="str">
        <f>IFERROR(INDEX(CongDoan!$A:$A,MATCH(ROW()-1,$E$2:$E$197,0)+3),"")</f>
        <v/>
      </c>
    </row>
    <row r="12">
      <c r="A12">
        <f>IF(TRIM(INDEX(DonGia!$A:$A,14))="","",IF(COUNTIF(INDEX(DonGia!$A:$A,4):INDEX(DonGia!$A:$A,14),INDEX(DonGia!$A:$A,14))=1,MAX($A$1:A11)+1,""))</f>
        <v>11</v>
      </c>
      <c r="B12" t="str">
        <f>IFERROR(INDEX(DonGia!$A:$A,MATCH(ROW()-1,$A$2:$A$201,0)+3),"")</f>
        <v>Cưa phôi</v>
      </c>
      <c r="C12" t="str">
        <f>IF(TRIM(INDEX(VatLieu!$A:$A,14))="","",IF(COUNTIF(INDEX(VatLieu!$A:$A,4):INDEX(VatLieu!$A:$A,14),INDEX(VatLieu!$A:$A,14))=1,MAX($C$1:C11)+1,""))</f>
        <v/>
      </c>
      <c r="D12" t="str">
        <f>IFERROR(INDEX(VatLieu!$A:$A,MATCH(ROW()-1,$C$2:$C$201,0)+3),"")</f>
        <v/>
      </c>
      <c r="E12" t="str">
        <f>IF(TRIM(INDEX(CongDoan!$A:$A,14))="","",IF(COUNTIF(INDEX(CongDoan!$A:$A,4):INDEX(CongDoan!$A:$A,14),INDEX(CongDoan!$A:$A,14))=1,MAX($E$1:E11)+1,""))</f>
        <v/>
      </c>
      <c r="F12" t="str">
        <f>IFERROR(INDEX(CongDoan!$A:$A,MATCH(ROW()-1,$E$2:$E$197,0)+3),"")</f>
        <v/>
      </c>
    </row>
    <row r="13">
      <c r="A13">
        <f>IF(TRIM(INDEX(DonGia!$A:$A,15))="","",IF(COUNTIF(INDEX(DonGia!$A:$A,4):INDEX(DonGia!$A:$A,15),INDEX(DonGia!$A:$A,15))=1,MAX($A$1:A12)+1,""))</f>
        <v>12</v>
      </c>
      <c r="B13" t="str">
        <f>IFERROR(INDEX(DonGia!$A:$A,MATCH(ROW()-1,$A$2:$A$201,0)+3),"")</f>
        <v>Phá ba via/hoàn thiện</v>
      </c>
      <c r="C13" t="str">
        <f>IF(TRIM(INDEX(VatLieu!$A:$A,15))="","",IF(COUNTIF(INDEX(VatLieu!$A:$A,4):INDEX(VatLieu!$A:$A,15),INDEX(VatLieu!$A:$A,15))=1,MAX($C$1:C12)+1,""))</f>
        <v/>
      </c>
      <c r="D13" t="str">
        <f>IFERROR(INDEX(VatLieu!$A:$A,MATCH(ROW()-1,$C$2:$C$201,0)+3),"")</f>
        <v/>
      </c>
      <c r="E13" t="str">
        <f>IF(TRIM(INDEX(CongDoan!$A:$A,15))="","",IF(COUNTIF(INDEX(CongDoan!$A:$A,4):INDEX(CongDoan!$A:$A,15),INDEX(CongDoan!$A:$A,15))=1,MAX($E$1:E12)+1,""))</f>
        <v/>
      </c>
      <c r="F13" t="str">
        <f>IFERROR(INDEX(CongDoan!$A:$A,MATCH(ROW()-1,$E$2:$E$197,0)+3),"")</f>
        <v/>
      </c>
    </row>
    <row r="14">
      <c r="A14">
        <f>IF(TRIM(INDEX(DonGia!$A:$A,16))="","",IF(COUNTIF(INDEX(DonGia!$A:$A,4):INDEX(DonGia!$A:$A,16),INDEX(DonGia!$A:$A,16))=1,MAX($A$1:A13)+1,""))</f>
        <v>13</v>
      </c>
      <c r="B14" t="str">
        <f>IFERROR(INDEX(DonGia!$A:$A,MATCH(ROW()-1,$A$2:$A$201,0)+3),"")</f>
        <v>QC/đo kiểm</v>
      </c>
      <c r="C14" t="str">
        <f>IF(TRIM(INDEX(VatLieu!$A:$A,16))="","",IF(COUNTIF(INDEX(VatLieu!$A:$A,4):INDEX(VatLieu!$A:$A,16),INDEX(VatLieu!$A:$A,16))=1,MAX($C$1:C13)+1,""))</f>
        <v/>
      </c>
      <c r="D14" t="str">
        <f>IFERROR(INDEX(VatLieu!$A:$A,MATCH(ROW()-1,$C$2:$C$201,0)+3),"")</f>
        <v/>
      </c>
      <c r="E14" t="str">
        <f>IF(TRIM(INDEX(CongDoan!$A:$A,16))="","",IF(COUNTIF(INDEX(CongDoan!$A:$A,4):INDEX(CongDoan!$A:$A,16),INDEX(CongDoan!$A:$A,16))=1,MAX($E$1:E13)+1,""))</f>
        <v/>
      </c>
      <c r="F14" t="str">
        <f>IFERROR(INDEX(CongDoan!$A:$A,MATCH(ROW()-1,$E$2:$E$197,0)+3),"")</f>
        <v/>
      </c>
    </row>
    <row r="15">
      <c r="A15">
        <f>IF(TRIM(INDEX(DonGia!$A:$A,17))="","",IF(COUNTIF(INDEX(DonGia!$A:$A,4):INDEX(DonGia!$A:$A,17),INDEX(DonGia!$A:$A,17))=1,MAX($A$1:A14)+1,""))</f>
        <v>14</v>
      </c>
      <c r="B15" t="str">
        <f>IFERROR(INDEX(DonGia!$A:$A,MATCH(ROW()-1,$A$2:$A$201,0)+3),"")</f>
        <v>abnnnn</v>
      </c>
      <c r="C15" t="str">
        <f>IF(TRIM(INDEX(VatLieu!$A:$A,17))="","",IF(COUNTIF(INDEX(VatLieu!$A:$A,4):INDEX(VatLieu!$A:$A,17),INDEX(VatLieu!$A:$A,17))=1,MAX($C$1:C14)+1,""))</f>
        <v/>
      </c>
      <c r="D15" t="str">
        <f>IFERROR(INDEX(VatLieu!$A:$A,MATCH(ROW()-1,$C$2:$C$201,0)+3),"")</f>
        <v/>
      </c>
      <c r="E15" t="str">
        <f>IF(TRIM(INDEX(CongDoan!$A:$A,17))="","",IF(COUNTIF(INDEX(CongDoan!$A:$A,4):INDEX(CongDoan!$A:$A,17),INDEX(CongDoan!$A:$A,17))=1,MAX($E$1:E14)+1,""))</f>
        <v/>
      </c>
      <c r="F15" t="str">
        <f>IFERROR(INDEX(CongDoan!$A:$A,MATCH(ROW()-1,$E$2:$E$197,0)+3),"")</f>
        <v/>
      </c>
    </row>
    <row r="16">
      <c r="A16">
        <f>IF(TRIM(INDEX(DonGia!$A:$A,18))="","",IF(COUNTIF(INDEX(DonGia!$A:$A,4):INDEX(DonGia!$A:$A,18),INDEX(DonGia!$A:$A,18))=1,MAX($A$1:A15)+1,""))</f>
        <v>15</v>
      </c>
      <c r="B16" t="str">
        <f>IFERROR(INDEX(DonGia!$A:$A,MATCH(ROW()-1,$A$2:$A$201,0)+3),"")</f>
        <v>Gia công ngoài</v>
      </c>
      <c r="C16" t="str">
        <f>IF(TRIM(INDEX(VatLieu!$A:$A,18))="","",IF(COUNTIF(INDEX(VatLieu!$A:$A,4):INDEX(VatLieu!$A:$A,18),INDEX(VatLieu!$A:$A,18))=1,MAX($C$1:C15)+1,""))</f>
        <v/>
      </c>
      <c r="D16" t="str">
        <f>IFERROR(INDEX(VatLieu!$A:$A,MATCH(ROW()-1,$C$2:$C$201,0)+3),"")</f>
        <v/>
      </c>
      <c r="E16" t="str">
        <f>IF(TRIM(INDEX(CongDoan!$A:$A,18))="","",IF(COUNTIF(INDEX(CongDoan!$A:$A,4):INDEX(CongDoan!$A:$A,18),INDEX(CongDoan!$A:$A,18))=1,MAX($E$1:E15)+1,""))</f>
        <v/>
      </c>
      <c r="F16" t="str">
        <f>IFERROR(INDEX(CongDoan!$A:$A,MATCH(ROW()-1,$E$2:$E$197,0)+3),"")</f>
        <v/>
      </c>
    </row>
    <row r="17">
      <c r="A17" t="str">
        <f>IF(TRIM(INDEX(DonGia!$A:$A,19))="","",IF(COUNTIF(INDEX(DonGia!$A:$A,4):INDEX(DonGia!$A:$A,19),INDEX(DonGia!$A:$A,19))=1,MAX($A$1:A16)+1,""))</f>
        <v/>
      </c>
      <c r="B17" t="str">
        <f>IFERROR(INDEX(DonGia!$A:$A,MATCH(ROW()-1,$A$2:$A$201,0)+3),"")</f>
        <v/>
      </c>
      <c r="C17" t="str">
        <f>IF(TRIM(INDEX(VatLieu!$A:$A,19))="","",IF(COUNTIF(INDEX(VatLieu!$A:$A,4):INDEX(VatLieu!$A:$A,19),INDEX(VatLieu!$A:$A,19))=1,MAX($C$1:C16)+1,""))</f>
        <v/>
      </c>
      <c r="D17" t="str">
        <f>IFERROR(INDEX(VatLieu!$A:$A,MATCH(ROW()-1,$C$2:$C$201,0)+3),"")</f>
        <v/>
      </c>
      <c r="E17" t="str">
        <f>IF(TRIM(INDEX(CongDoan!$A:$A,19))="","",IF(COUNTIF(INDEX(CongDoan!$A:$A,4):INDEX(CongDoan!$A:$A,19),INDEX(CongDoan!$A:$A,19))=1,MAX($E$1:E16)+1,""))</f>
        <v/>
      </c>
      <c r="F17" t="str">
        <f>IFERROR(INDEX(CongDoan!$A:$A,MATCH(ROW()-1,$E$2:$E$197,0)+3),"")</f>
        <v/>
      </c>
    </row>
    <row r="18">
      <c r="A18" t="str">
        <f>IF(TRIM(INDEX(DonGia!$A:$A,20))="","",IF(COUNTIF(INDEX(DonGia!$A:$A,4):INDEX(DonGia!$A:$A,20),INDEX(DonGia!$A:$A,20))=1,MAX($A$1:A17)+1,""))</f>
        <v/>
      </c>
      <c r="B18" t="str">
        <f>IFERROR(INDEX(DonGia!$A:$A,MATCH(ROW()-1,$A$2:$A$201,0)+3),"")</f>
        <v/>
      </c>
      <c r="C18" t="str">
        <f>IF(TRIM(INDEX(VatLieu!$A:$A,20))="","",IF(COUNTIF(INDEX(VatLieu!$A:$A,4):INDEX(VatLieu!$A:$A,20),INDEX(VatLieu!$A:$A,20))=1,MAX($C$1:C17)+1,""))</f>
        <v/>
      </c>
      <c r="D18" t="str">
        <f>IFERROR(INDEX(VatLieu!$A:$A,MATCH(ROW()-1,$C$2:$C$201,0)+3),"")</f>
        <v/>
      </c>
      <c r="E18" t="str">
        <f>IF(TRIM(INDEX(CongDoan!$A:$A,20))="","",IF(COUNTIF(INDEX(CongDoan!$A:$A,4):INDEX(CongDoan!$A:$A,20),INDEX(CongDoan!$A:$A,20))=1,MAX($E$1:E17)+1,""))</f>
        <v/>
      </c>
      <c r="F18" t="str">
        <f>IFERROR(INDEX(CongDoan!$A:$A,MATCH(ROW()-1,$E$2:$E$197,0)+3),"")</f>
        <v/>
      </c>
    </row>
    <row r="19">
      <c r="A19" t="str">
        <f>IF(TRIM(INDEX(DonGia!$A:$A,21))="","",IF(COUNTIF(INDEX(DonGia!$A:$A,4):INDEX(DonGia!$A:$A,21),INDEX(DonGia!$A:$A,21))=1,MAX($A$1:A18)+1,""))</f>
        <v/>
      </c>
      <c r="B19" t="str">
        <f>IFERROR(INDEX(DonGia!$A:$A,MATCH(ROW()-1,$A$2:$A$201,0)+3),"")</f>
        <v/>
      </c>
      <c r="C19" t="str">
        <f>IF(TRIM(INDEX(VatLieu!$A:$A,21))="","",IF(COUNTIF(INDEX(VatLieu!$A:$A,4):INDEX(VatLieu!$A:$A,21),INDEX(VatLieu!$A:$A,21))=1,MAX($C$1:C18)+1,""))</f>
        <v/>
      </c>
      <c r="D19" t="str">
        <f>IFERROR(INDEX(VatLieu!$A:$A,MATCH(ROW()-1,$C$2:$C$201,0)+3),"")</f>
        <v/>
      </c>
      <c r="E19" t="str">
        <f>IF(TRIM(INDEX(CongDoan!$A:$A,21))="","",IF(COUNTIF(INDEX(CongDoan!$A:$A,4):INDEX(CongDoan!$A:$A,21),INDEX(CongDoan!$A:$A,21))=1,MAX($E$1:E18)+1,""))</f>
        <v/>
      </c>
      <c r="F19" t="str">
        <f>IFERROR(INDEX(CongDoan!$A:$A,MATCH(ROW()-1,$E$2:$E$197,0)+3),"")</f>
        <v/>
      </c>
    </row>
    <row r="20">
      <c r="A20" t="str">
        <f>IF(TRIM(INDEX(DonGia!$A:$A,22))="","",IF(COUNTIF(INDEX(DonGia!$A:$A,4):INDEX(DonGia!$A:$A,22),INDEX(DonGia!$A:$A,22))=1,MAX($A$1:A19)+1,""))</f>
        <v/>
      </c>
      <c r="B20" t="str">
        <f>IFERROR(INDEX(DonGia!$A:$A,MATCH(ROW()-1,$A$2:$A$201,0)+3),"")</f>
        <v/>
      </c>
      <c r="C20" t="str">
        <f>IF(TRIM(INDEX(VatLieu!$A:$A,22))="","",IF(COUNTIF(INDEX(VatLieu!$A:$A,4):INDEX(VatLieu!$A:$A,22),INDEX(VatLieu!$A:$A,22))=1,MAX($C$1:C19)+1,""))</f>
        <v/>
      </c>
      <c r="D20" t="str">
        <f>IFERROR(INDEX(VatLieu!$A:$A,MATCH(ROW()-1,$C$2:$C$201,0)+3),"")</f>
        <v/>
      </c>
      <c r="E20" t="str">
        <f>IF(TRIM(INDEX(CongDoan!$A:$A,22))="","",IF(COUNTIF(INDEX(CongDoan!$A:$A,4):INDEX(CongDoan!$A:$A,22),INDEX(CongDoan!$A:$A,22))=1,MAX($E$1:E19)+1,""))</f>
        <v/>
      </c>
      <c r="F20" t="str">
        <f>IFERROR(INDEX(CongDoan!$A:$A,MATCH(ROW()-1,$E$2:$E$197,0)+3),"")</f>
        <v/>
      </c>
    </row>
    <row r="21">
      <c r="A21" t="str">
        <f>IF(TRIM(INDEX(DonGia!$A:$A,23))="","",IF(COUNTIF(INDEX(DonGia!$A:$A,4):INDEX(DonGia!$A:$A,23),INDEX(DonGia!$A:$A,23))=1,MAX($A$1:A20)+1,""))</f>
        <v/>
      </c>
      <c r="B21" t="str">
        <f>IFERROR(INDEX(DonGia!$A:$A,MATCH(ROW()-1,$A$2:$A$201,0)+3),"")</f>
        <v/>
      </c>
      <c r="C21" t="str">
        <f>IF(TRIM(INDEX(VatLieu!$A:$A,23))="","",IF(COUNTIF(INDEX(VatLieu!$A:$A,4):INDEX(VatLieu!$A:$A,23),INDEX(VatLieu!$A:$A,23))=1,MAX($C$1:C20)+1,""))</f>
        <v/>
      </c>
      <c r="D21" t="str">
        <f>IFERROR(INDEX(VatLieu!$A:$A,MATCH(ROW()-1,$C$2:$C$201,0)+3),"")</f>
        <v/>
      </c>
      <c r="E21" t="str">
        <f>IF(TRIM(INDEX(CongDoan!$A:$A,23))="","",IF(COUNTIF(INDEX(CongDoan!$A:$A,4):INDEX(CongDoan!$A:$A,23),INDEX(CongDoan!$A:$A,23))=1,MAX($E$1:E20)+1,""))</f>
        <v/>
      </c>
      <c r="F21" t="str">
        <f>IFERROR(INDEX(CongDoan!$A:$A,MATCH(ROW()-1,$E$2:$E$197,0)+3),"")</f>
        <v/>
      </c>
    </row>
    <row r="22">
      <c r="A22" t="str">
        <f>IF(TRIM(INDEX(DonGia!$A:$A,24))="","",IF(COUNTIF(INDEX(DonGia!$A:$A,4):INDEX(DonGia!$A:$A,24),INDEX(DonGia!$A:$A,24))=1,MAX($A$1:A21)+1,""))</f>
        <v/>
      </c>
      <c r="B22" t="str">
        <f>IFERROR(INDEX(DonGia!$A:$A,MATCH(ROW()-1,$A$2:$A$201,0)+3),"")</f>
        <v/>
      </c>
      <c r="C22" t="str">
        <f>IF(TRIM(INDEX(VatLieu!$A:$A,24))="","",IF(COUNTIF(INDEX(VatLieu!$A:$A,4):INDEX(VatLieu!$A:$A,24),INDEX(VatLieu!$A:$A,24))=1,MAX($C$1:C21)+1,""))</f>
        <v/>
      </c>
      <c r="D22" t="str">
        <f>IFERROR(INDEX(VatLieu!$A:$A,MATCH(ROW()-1,$C$2:$C$201,0)+3),"")</f>
        <v/>
      </c>
      <c r="E22" t="str">
        <f>IF(TRIM(INDEX(CongDoan!$A:$A,24))="","",IF(COUNTIF(INDEX(CongDoan!$A:$A,4):INDEX(CongDoan!$A:$A,24),INDEX(CongDoan!$A:$A,24))=1,MAX($E$1:E21)+1,""))</f>
        <v/>
      </c>
      <c r="F22" t="str">
        <f>IFERROR(INDEX(CongDoan!$A:$A,MATCH(ROW()-1,$E$2:$E$197,0)+3),"")</f>
        <v/>
      </c>
    </row>
    <row r="23">
      <c r="A23" t="str">
        <f>IF(TRIM(INDEX(DonGia!$A:$A,25))="","",IF(COUNTIF(INDEX(DonGia!$A:$A,4):INDEX(DonGia!$A:$A,25),INDEX(DonGia!$A:$A,25))=1,MAX($A$1:A22)+1,""))</f>
        <v/>
      </c>
      <c r="B23" t="str">
        <f>IFERROR(INDEX(DonGia!$A:$A,MATCH(ROW()-1,$A$2:$A$201,0)+3),"")</f>
        <v/>
      </c>
      <c r="C23" t="str">
        <f>IF(TRIM(INDEX(VatLieu!$A:$A,25))="","",IF(COUNTIF(INDEX(VatLieu!$A:$A,4):INDEX(VatLieu!$A:$A,25),INDEX(VatLieu!$A:$A,25))=1,MAX($C$1:C22)+1,""))</f>
        <v/>
      </c>
      <c r="D23" t="str">
        <f>IFERROR(INDEX(VatLieu!$A:$A,MATCH(ROW()-1,$C$2:$C$201,0)+3),"")</f>
        <v/>
      </c>
      <c r="E23" t="str">
        <f>IF(TRIM(INDEX(CongDoan!$A:$A,25))="","",IF(COUNTIF(INDEX(CongDoan!$A:$A,4):INDEX(CongDoan!$A:$A,25),INDEX(CongDoan!$A:$A,25))=1,MAX($E$1:E22)+1,""))</f>
        <v/>
      </c>
      <c r="F23" t="str">
        <f>IFERROR(INDEX(CongDoan!$A:$A,MATCH(ROW()-1,$E$2:$E$197,0)+3),"")</f>
        <v/>
      </c>
    </row>
    <row r="24">
      <c r="A24" t="str">
        <f>IF(TRIM(INDEX(DonGia!$A:$A,26))="","",IF(COUNTIF(INDEX(DonGia!$A:$A,4):INDEX(DonGia!$A:$A,26),INDEX(DonGia!$A:$A,26))=1,MAX($A$1:A23)+1,""))</f>
        <v/>
      </c>
      <c r="B24" t="str">
        <f>IFERROR(INDEX(DonGia!$A:$A,MATCH(ROW()-1,$A$2:$A$201,0)+3),"")</f>
        <v/>
      </c>
      <c r="C24" t="str">
        <f>IF(TRIM(INDEX(VatLieu!$A:$A,26))="","",IF(COUNTIF(INDEX(VatLieu!$A:$A,4):INDEX(VatLieu!$A:$A,26),INDEX(VatLieu!$A:$A,26))=1,MAX($C$1:C23)+1,""))</f>
        <v/>
      </c>
      <c r="D24" t="str">
        <f>IFERROR(INDEX(VatLieu!$A:$A,MATCH(ROW()-1,$C$2:$C$201,0)+3),"")</f>
        <v/>
      </c>
      <c r="E24" t="str">
        <f>IF(TRIM(INDEX(CongDoan!$A:$A,26))="","",IF(COUNTIF(INDEX(CongDoan!$A:$A,4):INDEX(CongDoan!$A:$A,26),INDEX(CongDoan!$A:$A,26))=1,MAX($E$1:E23)+1,""))</f>
        <v/>
      </c>
      <c r="F24" t="str">
        <f>IFERROR(INDEX(CongDoan!$A:$A,MATCH(ROW()-1,$E$2:$E$197,0)+3),"")</f>
        <v/>
      </c>
    </row>
    <row r="25">
      <c r="A25" t="str">
        <f>IF(TRIM(INDEX(DonGia!$A:$A,27))="","",IF(COUNTIF(INDEX(DonGia!$A:$A,4):INDEX(DonGia!$A:$A,27),INDEX(DonGia!$A:$A,27))=1,MAX($A$1:A24)+1,""))</f>
        <v/>
      </c>
      <c r="B25" t="str">
        <f>IFERROR(INDEX(DonGia!$A:$A,MATCH(ROW()-1,$A$2:$A$201,0)+3),"")</f>
        <v/>
      </c>
      <c r="C25" t="str">
        <f>IF(TRIM(INDEX(VatLieu!$A:$A,27))="","",IF(COUNTIF(INDEX(VatLieu!$A:$A,4):INDEX(VatLieu!$A:$A,27),INDEX(VatLieu!$A:$A,27))=1,MAX($C$1:C24)+1,""))</f>
        <v/>
      </c>
      <c r="D25" t="str">
        <f>IFERROR(INDEX(VatLieu!$A:$A,MATCH(ROW()-1,$C$2:$C$201,0)+3),"")</f>
        <v/>
      </c>
      <c r="E25" t="str">
        <f>IF(TRIM(INDEX(CongDoan!$A:$A,27))="","",IF(COUNTIF(INDEX(CongDoan!$A:$A,4):INDEX(CongDoan!$A:$A,27),INDEX(CongDoan!$A:$A,27))=1,MAX($E$1:E24)+1,""))</f>
        <v/>
      </c>
      <c r="F25" t="str">
        <f>IFERROR(INDEX(CongDoan!$A:$A,MATCH(ROW()-1,$E$2:$E$197,0)+3),"")</f>
        <v/>
      </c>
    </row>
    <row r="26">
      <c r="A26" t="str">
        <f>IF(TRIM(INDEX(DonGia!$A:$A,28))="","",IF(COUNTIF(INDEX(DonGia!$A:$A,4):INDEX(DonGia!$A:$A,28),INDEX(DonGia!$A:$A,28))=1,MAX($A$1:A25)+1,""))</f>
        <v/>
      </c>
      <c r="B26" t="str">
        <f>IFERROR(INDEX(DonGia!$A:$A,MATCH(ROW()-1,$A$2:$A$201,0)+3),"")</f>
        <v/>
      </c>
      <c r="C26" t="str">
        <f>IF(TRIM(INDEX(VatLieu!$A:$A,28))="","",IF(COUNTIF(INDEX(VatLieu!$A:$A,4):INDEX(VatLieu!$A:$A,28),INDEX(VatLieu!$A:$A,28))=1,MAX($C$1:C25)+1,""))</f>
        <v/>
      </c>
      <c r="D26" t="str">
        <f>IFERROR(INDEX(VatLieu!$A:$A,MATCH(ROW()-1,$C$2:$C$201,0)+3),"")</f>
        <v/>
      </c>
      <c r="E26" t="str">
        <f>IF(TRIM(INDEX(CongDoan!$A:$A,28))="","",IF(COUNTIF(INDEX(CongDoan!$A:$A,4):INDEX(CongDoan!$A:$A,28),INDEX(CongDoan!$A:$A,28))=1,MAX($E$1:E25)+1,""))</f>
        <v/>
      </c>
      <c r="F26" t="str">
        <f>IFERROR(INDEX(CongDoan!$A:$A,MATCH(ROW()-1,$E$2:$E$197,0)+3),"")</f>
        <v/>
      </c>
    </row>
    <row r="27">
      <c r="A27" t="str">
        <f>IF(TRIM(INDEX(DonGia!$A:$A,29))="","",IF(COUNTIF(INDEX(DonGia!$A:$A,4):INDEX(DonGia!$A:$A,29),INDEX(DonGia!$A:$A,29))=1,MAX($A$1:A26)+1,""))</f>
        <v/>
      </c>
      <c r="B27" t="str">
        <f>IFERROR(INDEX(DonGia!$A:$A,MATCH(ROW()-1,$A$2:$A$201,0)+3),"")</f>
        <v/>
      </c>
      <c r="C27" t="str">
        <f>IF(TRIM(INDEX(VatLieu!$A:$A,29))="","",IF(COUNTIF(INDEX(VatLieu!$A:$A,4):INDEX(VatLieu!$A:$A,29),INDEX(VatLieu!$A:$A,29))=1,MAX($C$1:C26)+1,""))</f>
        <v/>
      </c>
      <c r="D27" t="str">
        <f>IFERROR(INDEX(VatLieu!$A:$A,MATCH(ROW()-1,$C$2:$C$201,0)+3),"")</f>
        <v/>
      </c>
      <c r="E27" t="str">
        <f>IF(TRIM(INDEX(CongDoan!$A:$A,29))="","",IF(COUNTIF(INDEX(CongDoan!$A:$A,4):INDEX(CongDoan!$A:$A,29),INDEX(CongDoan!$A:$A,29))=1,MAX($E$1:E26)+1,""))</f>
        <v/>
      </c>
      <c r="F27" t="str">
        <f>IFERROR(INDEX(CongDoan!$A:$A,MATCH(ROW()-1,$E$2:$E$197,0)+3),"")</f>
        <v/>
      </c>
    </row>
    <row r="28">
      <c r="A28" t="str">
        <f>IF(TRIM(INDEX(DonGia!$A:$A,30))="","",IF(COUNTIF(INDEX(DonGia!$A:$A,4):INDEX(DonGia!$A:$A,30),INDEX(DonGia!$A:$A,30))=1,MAX($A$1:A27)+1,""))</f>
        <v/>
      </c>
      <c r="B28" t="str">
        <f>IFERROR(INDEX(DonGia!$A:$A,MATCH(ROW()-1,$A$2:$A$201,0)+3),"")</f>
        <v/>
      </c>
      <c r="C28" t="str">
        <f>IF(TRIM(INDEX(VatLieu!$A:$A,30))="","",IF(COUNTIF(INDEX(VatLieu!$A:$A,4):INDEX(VatLieu!$A:$A,30),INDEX(VatLieu!$A:$A,30))=1,MAX($C$1:C27)+1,""))</f>
        <v/>
      </c>
      <c r="D28" t="str">
        <f>IFERROR(INDEX(VatLieu!$A:$A,MATCH(ROW()-1,$C$2:$C$201,0)+3),"")</f>
        <v/>
      </c>
      <c r="E28" t="str">
        <f>IF(TRIM(INDEX(CongDoan!$A:$A,30))="","",IF(COUNTIF(INDEX(CongDoan!$A:$A,4):INDEX(CongDoan!$A:$A,30),INDEX(CongDoan!$A:$A,30))=1,MAX($E$1:E27)+1,""))</f>
        <v/>
      </c>
      <c r="F28" t="str">
        <f>IFERROR(INDEX(CongDoan!$A:$A,MATCH(ROW()-1,$E$2:$E$197,0)+3),"")</f>
        <v/>
      </c>
    </row>
    <row r="29">
      <c r="A29" t="str">
        <f>IF(TRIM(INDEX(DonGia!$A:$A,31))="","",IF(COUNTIF(INDEX(DonGia!$A:$A,4):INDEX(DonGia!$A:$A,31),INDEX(DonGia!$A:$A,31))=1,MAX($A$1:A28)+1,""))</f>
        <v/>
      </c>
      <c r="B29" t="str">
        <f>IFERROR(INDEX(DonGia!$A:$A,MATCH(ROW()-1,$A$2:$A$201,0)+3),"")</f>
        <v/>
      </c>
      <c r="C29" t="str">
        <f>IF(TRIM(INDEX(VatLieu!$A:$A,31))="","",IF(COUNTIF(INDEX(VatLieu!$A:$A,4):INDEX(VatLieu!$A:$A,31),INDEX(VatLieu!$A:$A,31))=1,MAX($C$1:C28)+1,""))</f>
        <v/>
      </c>
      <c r="D29" t="str">
        <f>IFERROR(INDEX(VatLieu!$A:$A,MATCH(ROW()-1,$C$2:$C$201,0)+3),"")</f>
        <v/>
      </c>
      <c r="E29" t="str">
        <f>IF(TRIM(INDEX(CongDoan!$A:$A,31))="","",IF(COUNTIF(INDEX(CongDoan!$A:$A,4):INDEX(CongDoan!$A:$A,31),INDEX(CongDoan!$A:$A,31))=1,MAX($E$1:E28)+1,""))</f>
        <v/>
      </c>
      <c r="F29" t="str">
        <f>IFERROR(INDEX(CongDoan!$A:$A,MATCH(ROW()-1,$E$2:$E$197,0)+3),"")</f>
        <v/>
      </c>
    </row>
    <row r="30">
      <c r="A30" t="str">
        <f>IF(TRIM(INDEX(DonGia!$A:$A,32))="","",IF(COUNTIF(INDEX(DonGia!$A:$A,4):INDEX(DonGia!$A:$A,32),INDEX(DonGia!$A:$A,32))=1,MAX($A$1:A29)+1,""))</f>
        <v/>
      </c>
      <c r="B30" t="str">
        <f>IFERROR(INDEX(DonGia!$A:$A,MATCH(ROW()-1,$A$2:$A$201,0)+3),"")</f>
        <v/>
      </c>
      <c r="C30" t="str">
        <f>IF(TRIM(INDEX(VatLieu!$A:$A,32))="","",IF(COUNTIF(INDEX(VatLieu!$A:$A,4):INDEX(VatLieu!$A:$A,32),INDEX(VatLieu!$A:$A,32))=1,MAX($C$1:C29)+1,""))</f>
        <v/>
      </c>
      <c r="D30" t="str">
        <f>IFERROR(INDEX(VatLieu!$A:$A,MATCH(ROW()-1,$C$2:$C$201,0)+3),"")</f>
        <v/>
      </c>
      <c r="E30" t="str">
        <f>IF(TRIM(INDEX(CongDoan!$A:$A,32))="","",IF(COUNTIF(INDEX(CongDoan!$A:$A,4):INDEX(CongDoan!$A:$A,32),INDEX(CongDoan!$A:$A,32))=1,MAX($E$1:E29)+1,""))</f>
        <v/>
      </c>
      <c r="F30" t="str">
        <f>IFERROR(INDEX(CongDoan!$A:$A,MATCH(ROW()-1,$E$2:$E$197,0)+3),"")</f>
        <v/>
      </c>
    </row>
    <row r="31">
      <c r="A31" t="str">
        <f>IF(TRIM(INDEX(DonGia!$A:$A,33))="","",IF(COUNTIF(INDEX(DonGia!$A:$A,4):INDEX(DonGia!$A:$A,33),INDEX(DonGia!$A:$A,33))=1,MAX($A$1:A30)+1,""))</f>
        <v/>
      </c>
      <c r="B31" t="str">
        <f>IFERROR(INDEX(DonGia!$A:$A,MATCH(ROW()-1,$A$2:$A$201,0)+3),"")</f>
        <v/>
      </c>
      <c r="C31" t="str">
        <f>IF(TRIM(INDEX(VatLieu!$A:$A,33))="","",IF(COUNTIF(INDEX(VatLieu!$A:$A,4):INDEX(VatLieu!$A:$A,33),INDEX(VatLieu!$A:$A,33))=1,MAX($C$1:C30)+1,""))</f>
        <v/>
      </c>
      <c r="D31" t="str">
        <f>IFERROR(INDEX(VatLieu!$A:$A,MATCH(ROW()-1,$C$2:$C$201,0)+3),"")</f>
        <v/>
      </c>
      <c r="E31" t="str">
        <f>IF(TRIM(INDEX(CongDoan!$A:$A,33))="","",IF(COUNTIF(INDEX(CongDoan!$A:$A,4):INDEX(CongDoan!$A:$A,33),INDEX(CongDoan!$A:$A,33))=1,MAX($E$1:E30)+1,""))</f>
        <v/>
      </c>
      <c r="F31" t="str">
        <f>IFERROR(INDEX(CongDoan!$A:$A,MATCH(ROW()-1,$E$2:$E$197,0)+3),"")</f>
        <v/>
      </c>
    </row>
    <row r="32">
      <c r="A32" t="str">
        <f>IF(TRIM(INDEX(DonGia!$A:$A,34))="","",IF(COUNTIF(INDEX(DonGia!$A:$A,4):INDEX(DonGia!$A:$A,34),INDEX(DonGia!$A:$A,34))=1,MAX($A$1:A31)+1,""))</f>
        <v/>
      </c>
      <c r="B32" t="str">
        <f>IFERROR(INDEX(DonGia!$A:$A,MATCH(ROW()-1,$A$2:$A$201,0)+3),"")</f>
        <v/>
      </c>
      <c r="C32" t="str">
        <f>IF(TRIM(INDEX(VatLieu!$A:$A,34))="","",IF(COUNTIF(INDEX(VatLieu!$A:$A,4):INDEX(VatLieu!$A:$A,34),INDEX(VatLieu!$A:$A,34))=1,MAX($C$1:C31)+1,""))</f>
        <v/>
      </c>
      <c r="D32" t="str">
        <f>IFERROR(INDEX(VatLieu!$A:$A,MATCH(ROW()-1,$C$2:$C$201,0)+3),"")</f>
        <v/>
      </c>
      <c r="E32" t="str">
        <f>IF(TRIM(INDEX(CongDoan!$A:$A,34))="","",IF(COUNTIF(INDEX(CongDoan!$A:$A,4):INDEX(CongDoan!$A:$A,34),INDEX(CongDoan!$A:$A,34))=1,MAX($E$1:E31)+1,""))</f>
        <v/>
      </c>
      <c r="F32" t="str">
        <f>IFERROR(INDEX(CongDoan!$A:$A,MATCH(ROW()-1,$E$2:$E$197,0)+3),"")</f>
        <v/>
      </c>
    </row>
    <row r="33">
      <c r="A33" t="str">
        <f>IF(TRIM(INDEX(DonGia!$A:$A,35))="","",IF(COUNTIF(INDEX(DonGia!$A:$A,4):INDEX(DonGia!$A:$A,35),INDEX(DonGia!$A:$A,35))=1,MAX($A$1:A32)+1,""))</f>
        <v/>
      </c>
      <c r="B33" t="str">
        <f>IFERROR(INDEX(DonGia!$A:$A,MATCH(ROW()-1,$A$2:$A$201,0)+3),"")</f>
        <v/>
      </c>
      <c r="C33" t="str">
        <f>IF(TRIM(INDEX(VatLieu!$A:$A,35))="","",IF(COUNTIF(INDEX(VatLieu!$A:$A,4):INDEX(VatLieu!$A:$A,35),INDEX(VatLieu!$A:$A,35))=1,MAX($C$1:C32)+1,""))</f>
        <v/>
      </c>
      <c r="D33" t="str">
        <f>IFERROR(INDEX(VatLieu!$A:$A,MATCH(ROW()-1,$C$2:$C$201,0)+3),"")</f>
        <v/>
      </c>
      <c r="E33" t="str">
        <f>IF(TRIM(INDEX(CongDoan!$A:$A,35))="","",IF(COUNTIF(INDEX(CongDoan!$A:$A,4):INDEX(CongDoan!$A:$A,35),INDEX(CongDoan!$A:$A,35))=1,MAX($E$1:E32)+1,""))</f>
        <v/>
      </c>
      <c r="F33" t="str">
        <f>IFERROR(INDEX(CongDoan!$A:$A,MATCH(ROW()-1,$E$2:$E$197,0)+3),"")</f>
        <v/>
      </c>
    </row>
    <row r="34">
      <c r="A34" t="str">
        <f>IF(TRIM(INDEX(DonGia!$A:$A,36))="","",IF(COUNTIF(INDEX(DonGia!$A:$A,4):INDEX(DonGia!$A:$A,36),INDEX(DonGia!$A:$A,36))=1,MAX($A$1:A33)+1,""))</f>
        <v/>
      </c>
      <c r="B34" t="str">
        <f>IFERROR(INDEX(DonGia!$A:$A,MATCH(ROW()-1,$A$2:$A$201,0)+3),"")</f>
        <v/>
      </c>
      <c r="C34" t="str">
        <f>IF(TRIM(INDEX(VatLieu!$A:$A,36))="","",IF(COUNTIF(INDEX(VatLieu!$A:$A,4):INDEX(VatLieu!$A:$A,36),INDEX(VatLieu!$A:$A,36))=1,MAX($C$1:C33)+1,""))</f>
        <v/>
      </c>
      <c r="D34" t="str">
        <f>IFERROR(INDEX(VatLieu!$A:$A,MATCH(ROW()-1,$C$2:$C$201,0)+3),"")</f>
        <v/>
      </c>
      <c r="E34" t="str">
        <f>IF(TRIM(INDEX(CongDoan!$A:$A,36))="","",IF(COUNTIF(INDEX(CongDoan!$A:$A,4):INDEX(CongDoan!$A:$A,36),INDEX(CongDoan!$A:$A,36))=1,MAX($E$1:E33)+1,""))</f>
        <v/>
      </c>
      <c r="F34" t="str">
        <f>IFERROR(INDEX(CongDoan!$A:$A,MATCH(ROW()-1,$E$2:$E$197,0)+3),"")</f>
        <v/>
      </c>
    </row>
    <row r="35">
      <c r="A35" t="str">
        <f>IF(TRIM(INDEX(DonGia!$A:$A,37))="","",IF(COUNTIF(INDEX(DonGia!$A:$A,4):INDEX(DonGia!$A:$A,37),INDEX(DonGia!$A:$A,37))=1,MAX($A$1:A34)+1,""))</f>
        <v/>
      </c>
      <c r="B35" t="str">
        <f>IFERROR(INDEX(DonGia!$A:$A,MATCH(ROW()-1,$A$2:$A$201,0)+3),"")</f>
        <v/>
      </c>
      <c r="C35" t="str">
        <f>IF(TRIM(INDEX(VatLieu!$A:$A,37))="","",IF(COUNTIF(INDEX(VatLieu!$A:$A,4):INDEX(VatLieu!$A:$A,37),INDEX(VatLieu!$A:$A,37))=1,MAX($C$1:C34)+1,""))</f>
        <v/>
      </c>
      <c r="D35" t="str">
        <f>IFERROR(INDEX(VatLieu!$A:$A,MATCH(ROW()-1,$C$2:$C$201,0)+3),"")</f>
        <v/>
      </c>
      <c r="E35" t="str">
        <f>IF(TRIM(INDEX(CongDoan!$A:$A,37))="","",IF(COUNTIF(INDEX(CongDoan!$A:$A,4):INDEX(CongDoan!$A:$A,37),INDEX(CongDoan!$A:$A,37))=1,MAX($E$1:E34)+1,""))</f>
        <v/>
      </c>
      <c r="F35" t="str">
        <f>IFERROR(INDEX(CongDoan!$A:$A,MATCH(ROW()-1,$E$2:$E$197,0)+3),"")</f>
        <v/>
      </c>
    </row>
    <row r="36">
      <c r="A36" t="str">
        <f>IF(TRIM(INDEX(DonGia!$A:$A,38))="","",IF(COUNTIF(INDEX(DonGia!$A:$A,4):INDEX(DonGia!$A:$A,38),INDEX(DonGia!$A:$A,38))=1,MAX($A$1:A35)+1,""))</f>
        <v/>
      </c>
      <c r="B36" t="str">
        <f>IFERROR(INDEX(DonGia!$A:$A,MATCH(ROW()-1,$A$2:$A$201,0)+3),"")</f>
        <v/>
      </c>
      <c r="C36" t="str">
        <f>IF(TRIM(INDEX(VatLieu!$A:$A,38))="","",IF(COUNTIF(INDEX(VatLieu!$A:$A,4):INDEX(VatLieu!$A:$A,38),INDEX(VatLieu!$A:$A,38))=1,MAX($C$1:C35)+1,""))</f>
        <v/>
      </c>
      <c r="D36" t="str">
        <f>IFERROR(INDEX(VatLieu!$A:$A,MATCH(ROW()-1,$C$2:$C$201,0)+3),"")</f>
        <v/>
      </c>
      <c r="E36" t="str">
        <f>IF(TRIM(INDEX(CongDoan!$A:$A,38))="","",IF(COUNTIF(INDEX(CongDoan!$A:$A,4):INDEX(CongDoan!$A:$A,38),INDEX(CongDoan!$A:$A,38))=1,MAX($E$1:E35)+1,""))</f>
        <v/>
      </c>
      <c r="F36" t="str">
        <f>IFERROR(INDEX(CongDoan!$A:$A,MATCH(ROW()-1,$E$2:$E$197,0)+3),"")</f>
        <v/>
      </c>
    </row>
    <row r="37">
      <c r="A37" t="str">
        <f>IF(TRIM(INDEX(DonGia!$A:$A,39))="","",IF(COUNTIF(INDEX(DonGia!$A:$A,4):INDEX(DonGia!$A:$A,39),INDEX(DonGia!$A:$A,39))=1,MAX($A$1:A36)+1,""))</f>
        <v/>
      </c>
      <c r="B37" t="str">
        <f>IFERROR(INDEX(DonGia!$A:$A,MATCH(ROW()-1,$A$2:$A$201,0)+3),"")</f>
        <v/>
      </c>
      <c r="C37" t="str">
        <f>IF(TRIM(INDEX(VatLieu!$A:$A,39))="","",IF(COUNTIF(INDEX(VatLieu!$A:$A,4):INDEX(VatLieu!$A:$A,39),INDEX(VatLieu!$A:$A,39))=1,MAX($C$1:C36)+1,""))</f>
        <v/>
      </c>
      <c r="D37" t="str">
        <f>IFERROR(INDEX(VatLieu!$A:$A,MATCH(ROW()-1,$C$2:$C$201,0)+3),"")</f>
        <v/>
      </c>
      <c r="E37" t="str">
        <f>IF(TRIM(INDEX(CongDoan!$A:$A,39))="","",IF(COUNTIF(INDEX(CongDoan!$A:$A,4):INDEX(CongDoan!$A:$A,39),INDEX(CongDoan!$A:$A,39))=1,MAX($E$1:E36)+1,""))</f>
        <v/>
      </c>
      <c r="F37" t="str">
        <f>IFERROR(INDEX(CongDoan!$A:$A,MATCH(ROW()-1,$E$2:$E$197,0)+3),"")</f>
        <v/>
      </c>
    </row>
    <row r="38">
      <c r="A38" t="str">
        <f>IF(TRIM(INDEX(DonGia!$A:$A,40))="","",IF(COUNTIF(INDEX(DonGia!$A:$A,4):INDEX(DonGia!$A:$A,40),INDEX(DonGia!$A:$A,40))=1,MAX($A$1:A37)+1,""))</f>
        <v/>
      </c>
      <c r="B38" t="str">
        <f>IFERROR(INDEX(DonGia!$A:$A,MATCH(ROW()-1,$A$2:$A$201,0)+3),"")</f>
        <v/>
      </c>
      <c r="C38" t="str">
        <f>IF(TRIM(INDEX(VatLieu!$A:$A,40))="","",IF(COUNTIF(INDEX(VatLieu!$A:$A,4):INDEX(VatLieu!$A:$A,40),INDEX(VatLieu!$A:$A,40))=1,MAX($C$1:C37)+1,""))</f>
        <v/>
      </c>
      <c r="D38" t="str">
        <f>IFERROR(INDEX(VatLieu!$A:$A,MATCH(ROW()-1,$C$2:$C$201,0)+3),"")</f>
        <v/>
      </c>
      <c r="E38" t="str">
        <f>IF(TRIM(INDEX(CongDoan!$A:$A,40))="","",IF(COUNTIF(INDEX(CongDoan!$A:$A,4):INDEX(CongDoan!$A:$A,40),INDEX(CongDoan!$A:$A,40))=1,MAX($E$1:E37)+1,""))</f>
        <v/>
      </c>
      <c r="F38" t="str">
        <f>IFERROR(INDEX(CongDoan!$A:$A,MATCH(ROW()-1,$E$2:$E$197,0)+3),"")</f>
        <v/>
      </c>
    </row>
    <row r="39">
      <c r="A39" t="str">
        <f>IF(TRIM(INDEX(DonGia!$A:$A,41))="","",IF(COUNTIF(INDEX(DonGia!$A:$A,4):INDEX(DonGia!$A:$A,41),INDEX(DonGia!$A:$A,41))=1,MAX($A$1:A38)+1,""))</f>
        <v/>
      </c>
      <c r="B39" t="str">
        <f>IFERROR(INDEX(DonGia!$A:$A,MATCH(ROW()-1,$A$2:$A$201,0)+3),"")</f>
        <v/>
      </c>
      <c r="C39" t="str">
        <f>IF(TRIM(INDEX(VatLieu!$A:$A,41))="","",IF(COUNTIF(INDEX(VatLieu!$A:$A,4):INDEX(VatLieu!$A:$A,41),INDEX(VatLieu!$A:$A,41))=1,MAX($C$1:C38)+1,""))</f>
        <v/>
      </c>
      <c r="D39" t="str">
        <f>IFERROR(INDEX(VatLieu!$A:$A,MATCH(ROW()-1,$C$2:$C$201,0)+3),"")</f>
        <v/>
      </c>
      <c r="E39" t="str">
        <f>IF(TRIM(INDEX(CongDoan!$A:$A,41))="","",IF(COUNTIF(INDEX(CongDoan!$A:$A,4):INDEX(CongDoan!$A:$A,41),INDEX(CongDoan!$A:$A,41))=1,MAX($E$1:E38)+1,""))</f>
        <v/>
      </c>
      <c r="F39" t="str">
        <f>IFERROR(INDEX(CongDoan!$A:$A,MATCH(ROW()-1,$E$2:$E$197,0)+3),"")</f>
        <v/>
      </c>
    </row>
    <row r="40">
      <c r="A40" t="str">
        <f>IF(TRIM(INDEX(DonGia!$A:$A,42))="","",IF(COUNTIF(INDEX(DonGia!$A:$A,4):INDEX(DonGia!$A:$A,42),INDEX(DonGia!$A:$A,42))=1,MAX($A$1:A39)+1,""))</f>
        <v/>
      </c>
      <c r="B40" t="str">
        <f>IFERROR(INDEX(DonGia!$A:$A,MATCH(ROW()-1,$A$2:$A$201,0)+3),"")</f>
        <v/>
      </c>
      <c r="C40" t="str">
        <f>IF(TRIM(INDEX(VatLieu!$A:$A,42))="","",IF(COUNTIF(INDEX(VatLieu!$A:$A,4):INDEX(VatLieu!$A:$A,42),INDEX(VatLieu!$A:$A,42))=1,MAX($C$1:C39)+1,""))</f>
        <v/>
      </c>
      <c r="D40" t="str">
        <f>IFERROR(INDEX(VatLieu!$A:$A,MATCH(ROW()-1,$C$2:$C$201,0)+3),"")</f>
        <v/>
      </c>
      <c r="E40" t="str">
        <f>IF(TRIM(INDEX(CongDoan!$A:$A,42))="","",IF(COUNTIF(INDEX(CongDoan!$A:$A,4):INDEX(CongDoan!$A:$A,42),INDEX(CongDoan!$A:$A,42))=1,MAX($E$1:E39)+1,""))</f>
        <v/>
      </c>
      <c r="F40" t="str">
        <f>IFERROR(INDEX(CongDoan!$A:$A,MATCH(ROW()-1,$E$2:$E$197,0)+3),"")</f>
        <v/>
      </c>
    </row>
    <row r="41">
      <c r="A41" t="str">
        <f>IF(TRIM(INDEX(DonGia!$A:$A,43))="","",IF(COUNTIF(INDEX(DonGia!$A:$A,4):INDEX(DonGia!$A:$A,43),INDEX(DonGia!$A:$A,43))=1,MAX($A$1:A40)+1,""))</f>
        <v/>
      </c>
      <c r="B41" t="str">
        <f>IFERROR(INDEX(DonGia!$A:$A,MATCH(ROW()-1,$A$2:$A$201,0)+3),"")</f>
        <v/>
      </c>
      <c r="C41" t="str">
        <f>IF(TRIM(INDEX(VatLieu!$A:$A,43))="","",IF(COUNTIF(INDEX(VatLieu!$A:$A,4):INDEX(VatLieu!$A:$A,43),INDEX(VatLieu!$A:$A,43))=1,MAX($C$1:C40)+1,""))</f>
        <v/>
      </c>
      <c r="D41" t="str">
        <f>IFERROR(INDEX(VatLieu!$A:$A,MATCH(ROW()-1,$C$2:$C$201,0)+3),"")</f>
        <v/>
      </c>
      <c r="E41" t="str">
        <f>IF(TRIM(INDEX(CongDoan!$A:$A,43))="","",IF(COUNTIF(INDEX(CongDoan!$A:$A,4):INDEX(CongDoan!$A:$A,43),INDEX(CongDoan!$A:$A,43))=1,MAX($E$1:E40)+1,""))</f>
        <v/>
      </c>
      <c r="F41" t="str">
        <f>IFERROR(INDEX(CongDoan!$A:$A,MATCH(ROW()-1,$E$2:$E$197,0)+3),"")</f>
        <v/>
      </c>
    </row>
    <row r="42">
      <c r="A42" t="str">
        <f>IF(TRIM(INDEX(DonGia!$A:$A,44))="","",IF(COUNTIF(INDEX(DonGia!$A:$A,4):INDEX(DonGia!$A:$A,44),INDEX(DonGia!$A:$A,44))=1,MAX($A$1:A41)+1,""))</f>
        <v/>
      </c>
      <c r="B42" t="str">
        <f>IFERROR(INDEX(DonGia!$A:$A,MATCH(ROW()-1,$A$2:$A$201,0)+3),"")</f>
        <v/>
      </c>
      <c r="C42" t="str">
        <f>IF(TRIM(INDEX(VatLieu!$A:$A,44))="","",IF(COUNTIF(INDEX(VatLieu!$A:$A,4):INDEX(VatLieu!$A:$A,44),INDEX(VatLieu!$A:$A,44))=1,MAX($C$1:C41)+1,""))</f>
        <v/>
      </c>
      <c r="D42" t="str">
        <f>IFERROR(INDEX(VatLieu!$A:$A,MATCH(ROW()-1,$C$2:$C$201,0)+3),"")</f>
        <v/>
      </c>
      <c r="E42" t="str">
        <f>IF(TRIM(INDEX(CongDoan!$A:$A,44))="","",IF(COUNTIF(INDEX(CongDoan!$A:$A,4):INDEX(CongDoan!$A:$A,44),INDEX(CongDoan!$A:$A,44))=1,MAX($E$1:E41)+1,""))</f>
        <v/>
      </c>
      <c r="F42" t="str">
        <f>IFERROR(INDEX(CongDoan!$A:$A,MATCH(ROW()-1,$E$2:$E$197,0)+3),"")</f>
        <v/>
      </c>
    </row>
    <row r="43">
      <c r="A43" t="str">
        <f>IF(TRIM(INDEX(DonGia!$A:$A,45))="","",IF(COUNTIF(INDEX(DonGia!$A:$A,4):INDEX(DonGia!$A:$A,45),INDEX(DonGia!$A:$A,45))=1,MAX($A$1:A42)+1,""))</f>
        <v/>
      </c>
      <c r="B43" t="str">
        <f>IFERROR(INDEX(DonGia!$A:$A,MATCH(ROW()-1,$A$2:$A$201,0)+3),"")</f>
        <v/>
      </c>
      <c r="C43" t="str">
        <f>IF(TRIM(INDEX(VatLieu!$A:$A,45))="","",IF(COUNTIF(INDEX(VatLieu!$A:$A,4):INDEX(VatLieu!$A:$A,45),INDEX(VatLieu!$A:$A,45))=1,MAX($C$1:C42)+1,""))</f>
        <v/>
      </c>
      <c r="D43" t="str">
        <f>IFERROR(INDEX(VatLieu!$A:$A,MATCH(ROW()-1,$C$2:$C$201,0)+3),"")</f>
        <v/>
      </c>
      <c r="E43" t="str">
        <f>IF(TRIM(INDEX(CongDoan!$A:$A,45))="","",IF(COUNTIF(INDEX(CongDoan!$A:$A,4):INDEX(CongDoan!$A:$A,45),INDEX(CongDoan!$A:$A,45))=1,MAX($E$1:E42)+1,""))</f>
        <v/>
      </c>
      <c r="F43" t="str">
        <f>IFERROR(INDEX(CongDoan!$A:$A,MATCH(ROW()-1,$E$2:$E$197,0)+3),"")</f>
        <v/>
      </c>
    </row>
    <row r="44">
      <c r="A44" t="str">
        <f>IF(TRIM(INDEX(DonGia!$A:$A,46))="","",IF(COUNTIF(INDEX(DonGia!$A:$A,4):INDEX(DonGia!$A:$A,46),INDEX(DonGia!$A:$A,46))=1,MAX($A$1:A43)+1,""))</f>
        <v/>
      </c>
      <c r="B44" t="str">
        <f>IFERROR(INDEX(DonGia!$A:$A,MATCH(ROW()-1,$A$2:$A$201,0)+3),"")</f>
        <v/>
      </c>
      <c r="C44" t="str">
        <f>IF(TRIM(INDEX(VatLieu!$A:$A,46))="","",IF(COUNTIF(INDEX(VatLieu!$A:$A,4):INDEX(VatLieu!$A:$A,46),INDEX(VatLieu!$A:$A,46))=1,MAX($C$1:C43)+1,""))</f>
        <v/>
      </c>
      <c r="D44" t="str">
        <f>IFERROR(INDEX(VatLieu!$A:$A,MATCH(ROW()-1,$C$2:$C$201,0)+3),"")</f>
        <v/>
      </c>
      <c r="E44" t="str">
        <f>IF(TRIM(INDEX(CongDoan!$A:$A,46))="","",IF(COUNTIF(INDEX(CongDoan!$A:$A,4):INDEX(CongDoan!$A:$A,46),INDEX(CongDoan!$A:$A,46))=1,MAX($E$1:E43)+1,""))</f>
        <v/>
      </c>
      <c r="F44" t="str">
        <f>IFERROR(INDEX(CongDoan!$A:$A,MATCH(ROW()-1,$E$2:$E$197,0)+3),"")</f>
        <v/>
      </c>
    </row>
    <row r="45">
      <c r="A45" t="str">
        <f>IF(TRIM(INDEX(DonGia!$A:$A,47))="","",IF(COUNTIF(INDEX(DonGia!$A:$A,4):INDEX(DonGia!$A:$A,47),INDEX(DonGia!$A:$A,47))=1,MAX($A$1:A44)+1,""))</f>
        <v/>
      </c>
      <c r="B45" t="str">
        <f>IFERROR(INDEX(DonGia!$A:$A,MATCH(ROW()-1,$A$2:$A$201,0)+3),"")</f>
        <v/>
      </c>
      <c r="C45" t="str">
        <f>IF(TRIM(INDEX(VatLieu!$A:$A,47))="","",IF(COUNTIF(INDEX(VatLieu!$A:$A,4):INDEX(VatLieu!$A:$A,47),INDEX(VatLieu!$A:$A,47))=1,MAX($C$1:C44)+1,""))</f>
        <v/>
      </c>
      <c r="D45" t="str">
        <f>IFERROR(INDEX(VatLieu!$A:$A,MATCH(ROW()-1,$C$2:$C$201,0)+3),"")</f>
        <v/>
      </c>
      <c r="E45" t="str">
        <f>IF(TRIM(INDEX(CongDoan!$A:$A,47))="","",IF(COUNTIF(INDEX(CongDoan!$A:$A,4):INDEX(CongDoan!$A:$A,47),INDEX(CongDoan!$A:$A,47))=1,MAX($E$1:E44)+1,""))</f>
        <v/>
      </c>
      <c r="F45" t="str">
        <f>IFERROR(INDEX(CongDoan!$A:$A,MATCH(ROW()-1,$E$2:$E$197,0)+3),"")</f>
        <v/>
      </c>
    </row>
    <row r="46">
      <c r="A46" t="str">
        <f>IF(TRIM(INDEX(DonGia!$A:$A,48))="","",IF(COUNTIF(INDEX(DonGia!$A:$A,4):INDEX(DonGia!$A:$A,48),INDEX(DonGia!$A:$A,48))=1,MAX($A$1:A45)+1,""))</f>
        <v/>
      </c>
      <c r="B46" t="str">
        <f>IFERROR(INDEX(DonGia!$A:$A,MATCH(ROW()-1,$A$2:$A$201,0)+3),"")</f>
        <v/>
      </c>
      <c r="C46" t="str">
        <f>IF(TRIM(INDEX(VatLieu!$A:$A,48))="","",IF(COUNTIF(INDEX(VatLieu!$A:$A,4):INDEX(VatLieu!$A:$A,48),INDEX(VatLieu!$A:$A,48))=1,MAX($C$1:C45)+1,""))</f>
        <v/>
      </c>
      <c r="D46" t="str">
        <f>IFERROR(INDEX(VatLieu!$A:$A,MATCH(ROW()-1,$C$2:$C$201,0)+3),"")</f>
        <v/>
      </c>
      <c r="E46" t="str">
        <f>IF(TRIM(INDEX(CongDoan!$A:$A,48))="","",IF(COUNTIF(INDEX(CongDoan!$A:$A,4):INDEX(CongDoan!$A:$A,48),INDEX(CongDoan!$A:$A,48))=1,MAX($E$1:E45)+1,""))</f>
        <v/>
      </c>
      <c r="F46" t="str">
        <f>IFERROR(INDEX(CongDoan!$A:$A,MATCH(ROW()-1,$E$2:$E$197,0)+3),"")</f>
        <v/>
      </c>
    </row>
    <row r="47">
      <c r="A47" t="str">
        <f>IF(TRIM(INDEX(DonGia!$A:$A,49))="","",IF(COUNTIF(INDEX(DonGia!$A:$A,4):INDEX(DonGia!$A:$A,49),INDEX(DonGia!$A:$A,49))=1,MAX($A$1:A46)+1,""))</f>
        <v/>
      </c>
      <c r="B47" t="str">
        <f>IFERROR(INDEX(DonGia!$A:$A,MATCH(ROW()-1,$A$2:$A$201,0)+3),"")</f>
        <v/>
      </c>
      <c r="C47" t="str">
        <f>IF(TRIM(INDEX(VatLieu!$A:$A,49))="","",IF(COUNTIF(INDEX(VatLieu!$A:$A,4):INDEX(VatLieu!$A:$A,49),INDEX(VatLieu!$A:$A,49))=1,MAX($C$1:C46)+1,""))</f>
        <v/>
      </c>
      <c r="D47" t="str">
        <f>IFERROR(INDEX(VatLieu!$A:$A,MATCH(ROW()-1,$C$2:$C$201,0)+3),"")</f>
        <v/>
      </c>
      <c r="E47" t="str">
        <f>IF(TRIM(INDEX(CongDoan!$A:$A,49))="","",IF(COUNTIF(INDEX(CongDoan!$A:$A,4):INDEX(CongDoan!$A:$A,49),INDEX(CongDoan!$A:$A,49))=1,MAX($E$1:E46)+1,""))</f>
        <v/>
      </c>
      <c r="F47" t="str">
        <f>IFERROR(INDEX(CongDoan!$A:$A,MATCH(ROW()-1,$E$2:$E$197,0)+3),"")</f>
        <v/>
      </c>
    </row>
    <row r="48">
      <c r="A48" t="str">
        <f>IF(TRIM(INDEX(DonGia!$A:$A,50))="","",IF(COUNTIF(INDEX(DonGia!$A:$A,4):INDEX(DonGia!$A:$A,50),INDEX(DonGia!$A:$A,50))=1,MAX($A$1:A47)+1,""))</f>
        <v/>
      </c>
      <c r="B48" t="str">
        <f>IFERROR(INDEX(DonGia!$A:$A,MATCH(ROW()-1,$A$2:$A$201,0)+3),"")</f>
        <v/>
      </c>
      <c r="C48" t="str">
        <f>IF(TRIM(INDEX(VatLieu!$A:$A,50))="","",IF(COUNTIF(INDEX(VatLieu!$A:$A,4):INDEX(VatLieu!$A:$A,50),INDEX(VatLieu!$A:$A,50))=1,MAX($C$1:C47)+1,""))</f>
        <v/>
      </c>
      <c r="D48" t="str">
        <f>IFERROR(INDEX(VatLieu!$A:$A,MATCH(ROW()-1,$C$2:$C$201,0)+3),"")</f>
        <v/>
      </c>
      <c r="E48" t="str">
        <f>IF(TRIM(INDEX(CongDoan!$A:$A,50))="","",IF(COUNTIF(INDEX(CongDoan!$A:$A,4):INDEX(CongDoan!$A:$A,50),INDEX(CongDoan!$A:$A,50))=1,MAX($E$1:E47)+1,""))</f>
        <v/>
      </c>
      <c r="F48" t="str">
        <f>IFERROR(INDEX(CongDoan!$A:$A,MATCH(ROW()-1,$E$2:$E$197,0)+3),"")</f>
        <v/>
      </c>
    </row>
    <row r="49">
      <c r="A49" t="str">
        <f>IF(TRIM(INDEX(DonGia!$A:$A,51))="","",IF(COUNTIF(INDEX(DonGia!$A:$A,4):INDEX(DonGia!$A:$A,51),INDEX(DonGia!$A:$A,51))=1,MAX($A$1:A48)+1,""))</f>
        <v/>
      </c>
      <c r="B49" t="str">
        <f>IFERROR(INDEX(DonGia!$A:$A,MATCH(ROW()-1,$A$2:$A$201,0)+3),"")</f>
        <v/>
      </c>
      <c r="C49" t="str">
        <f>IF(TRIM(INDEX(VatLieu!$A:$A,51))="","",IF(COUNTIF(INDEX(VatLieu!$A:$A,4):INDEX(VatLieu!$A:$A,51),INDEX(VatLieu!$A:$A,51))=1,MAX($C$1:C48)+1,""))</f>
        <v/>
      </c>
      <c r="D49" t="str">
        <f>IFERROR(INDEX(VatLieu!$A:$A,MATCH(ROW()-1,$C$2:$C$201,0)+3),"")</f>
        <v/>
      </c>
      <c r="E49" t="str">
        <f>IF(TRIM(INDEX(CongDoan!$A:$A,51))="","",IF(COUNTIF(INDEX(CongDoan!$A:$A,4):INDEX(CongDoan!$A:$A,51),INDEX(CongDoan!$A:$A,51))=1,MAX($E$1:E48)+1,""))</f>
        <v/>
      </c>
      <c r="F49" t="str">
        <f>IFERROR(INDEX(CongDoan!$A:$A,MATCH(ROW()-1,$E$2:$E$197,0)+3),"")</f>
        <v/>
      </c>
    </row>
    <row r="50">
      <c r="A50" t="str">
        <f>IF(TRIM(INDEX(DonGia!$A:$A,52))="","",IF(COUNTIF(INDEX(DonGia!$A:$A,4):INDEX(DonGia!$A:$A,52),INDEX(DonGia!$A:$A,52))=1,MAX($A$1:A49)+1,""))</f>
        <v/>
      </c>
      <c r="B50" t="str">
        <f>IFERROR(INDEX(DonGia!$A:$A,MATCH(ROW()-1,$A$2:$A$201,0)+3),"")</f>
        <v/>
      </c>
      <c r="C50" t="str">
        <f>IF(TRIM(INDEX(VatLieu!$A:$A,52))="","",IF(COUNTIF(INDEX(VatLieu!$A:$A,4):INDEX(VatLieu!$A:$A,52),INDEX(VatLieu!$A:$A,52))=1,MAX($C$1:C49)+1,""))</f>
        <v/>
      </c>
      <c r="D50" t="str">
        <f>IFERROR(INDEX(VatLieu!$A:$A,MATCH(ROW()-1,$C$2:$C$201,0)+3),"")</f>
        <v/>
      </c>
      <c r="E50" t="str">
        <f>IF(TRIM(INDEX(CongDoan!$A:$A,52))="","",IF(COUNTIF(INDEX(CongDoan!$A:$A,4):INDEX(CongDoan!$A:$A,52),INDEX(CongDoan!$A:$A,52))=1,MAX($E$1:E49)+1,""))</f>
        <v/>
      </c>
      <c r="F50" t="str">
        <f>IFERROR(INDEX(CongDoan!$A:$A,MATCH(ROW()-1,$E$2:$E$197,0)+3),"")</f>
        <v/>
      </c>
    </row>
    <row r="51">
      <c r="A51" t="str">
        <f>IF(TRIM(INDEX(DonGia!$A:$A,53))="","",IF(COUNTIF(INDEX(DonGia!$A:$A,4):INDEX(DonGia!$A:$A,53),INDEX(DonGia!$A:$A,53))=1,MAX($A$1:A50)+1,""))</f>
        <v/>
      </c>
      <c r="B51" t="str">
        <f>IFERROR(INDEX(DonGia!$A:$A,MATCH(ROW()-1,$A$2:$A$201,0)+3),"")</f>
        <v/>
      </c>
      <c r="C51" t="str">
        <f>IF(TRIM(INDEX(VatLieu!$A:$A,53))="","",IF(COUNTIF(INDEX(VatLieu!$A:$A,4):INDEX(VatLieu!$A:$A,53),INDEX(VatLieu!$A:$A,53))=1,MAX($C$1:C50)+1,""))</f>
        <v/>
      </c>
      <c r="D51" t="str">
        <f>IFERROR(INDEX(VatLieu!$A:$A,MATCH(ROW()-1,$C$2:$C$201,0)+3),"")</f>
        <v/>
      </c>
      <c r="E51" t="str">
        <f>IF(TRIM(INDEX(CongDoan!$A:$A,53))="","",IF(COUNTIF(INDEX(CongDoan!$A:$A,4):INDEX(CongDoan!$A:$A,53),INDEX(CongDoan!$A:$A,53))=1,MAX($E$1:E50)+1,""))</f>
        <v/>
      </c>
      <c r="F51" t="str">
        <f>IFERROR(INDEX(CongDoan!$A:$A,MATCH(ROW()-1,$E$2:$E$197,0)+3),"")</f>
        <v/>
      </c>
    </row>
    <row r="52">
      <c r="A52" t="str">
        <f>IF(TRIM(INDEX(DonGia!$A:$A,54))="","",IF(COUNTIF(INDEX(DonGia!$A:$A,4):INDEX(DonGia!$A:$A,54),INDEX(DonGia!$A:$A,54))=1,MAX($A$1:A51)+1,""))</f>
        <v/>
      </c>
      <c r="B52" t="str">
        <f>IFERROR(INDEX(DonGia!$A:$A,MATCH(ROW()-1,$A$2:$A$201,0)+3),"")</f>
        <v/>
      </c>
      <c r="C52" t="str">
        <f>IF(TRIM(INDEX(VatLieu!$A:$A,54))="","",IF(COUNTIF(INDEX(VatLieu!$A:$A,4):INDEX(VatLieu!$A:$A,54),INDEX(VatLieu!$A:$A,54))=1,MAX($C$1:C51)+1,""))</f>
        <v/>
      </c>
      <c r="D52" t="str">
        <f>IFERROR(INDEX(VatLieu!$A:$A,MATCH(ROW()-1,$C$2:$C$201,0)+3),"")</f>
        <v/>
      </c>
      <c r="E52" t="str">
        <f>IF(TRIM(INDEX(CongDoan!$A:$A,54))="","",IF(COUNTIF(INDEX(CongDoan!$A:$A,4):INDEX(CongDoan!$A:$A,54),INDEX(CongDoan!$A:$A,54))=1,MAX($E$1:E51)+1,""))</f>
        <v/>
      </c>
      <c r="F52" t="str">
        <f>IFERROR(INDEX(CongDoan!$A:$A,MATCH(ROW()-1,$E$2:$E$197,0)+3),"")</f>
        <v/>
      </c>
    </row>
    <row r="53">
      <c r="A53" t="str">
        <f>IF(TRIM(INDEX(DonGia!$A:$A,55))="","",IF(COUNTIF(INDEX(DonGia!$A:$A,4):INDEX(DonGia!$A:$A,55),INDEX(DonGia!$A:$A,55))=1,MAX($A$1:A52)+1,""))</f>
        <v/>
      </c>
      <c r="B53" t="str">
        <f>IFERROR(INDEX(DonGia!$A:$A,MATCH(ROW()-1,$A$2:$A$201,0)+3),"")</f>
        <v/>
      </c>
      <c r="C53" t="str">
        <f>IF(TRIM(INDEX(VatLieu!$A:$A,55))="","",IF(COUNTIF(INDEX(VatLieu!$A:$A,4):INDEX(VatLieu!$A:$A,55),INDEX(VatLieu!$A:$A,55))=1,MAX($C$1:C52)+1,""))</f>
        <v/>
      </c>
      <c r="D53" t="str">
        <f>IFERROR(INDEX(VatLieu!$A:$A,MATCH(ROW()-1,$C$2:$C$201,0)+3),"")</f>
        <v/>
      </c>
      <c r="E53" t="str">
        <f>IF(TRIM(INDEX(CongDoan!$A:$A,55))="","",IF(COUNTIF(INDEX(CongDoan!$A:$A,4):INDEX(CongDoan!$A:$A,55),INDEX(CongDoan!$A:$A,55))=1,MAX($E$1:E52)+1,""))</f>
        <v/>
      </c>
      <c r="F53" t="str">
        <f>IFERROR(INDEX(CongDoan!$A:$A,MATCH(ROW()-1,$E$2:$E$197,0)+3),"")</f>
        <v/>
      </c>
    </row>
    <row r="54">
      <c r="A54" t="str">
        <f>IF(TRIM(INDEX(DonGia!$A:$A,56))="","",IF(COUNTIF(INDEX(DonGia!$A:$A,4):INDEX(DonGia!$A:$A,56),INDEX(DonGia!$A:$A,56))=1,MAX($A$1:A53)+1,""))</f>
        <v/>
      </c>
      <c r="B54" t="str">
        <f>IFERROR(INDEX(DonGia!$A:$A,MATCH(ROW()-1,$A$2:$A$201,0)+3),"")</f>
        <v/>
      </c>
      <c r="C54" t="str">
        <f>IF(TRIM(INDEX(VatLieu!$A:$A,56))="","",IF(COUNTIF(INDEX(VatLieu!$A:$A,4):INDEX(VatLieu!$A:$A,56),INDEX(VatLieu!$A:$A,56))=1,MAX($C$1:C53)+1,""))</f>
        <v/>
      </c>
      <c r="D54" t="str">
        <f>IFERROR(INDEX(VatLieu!$A:$A,MATCH(ROW()-1,$C$2:$C$201,0)+3),"")</f>
        <v/>
      </c>
      <c r="E54" t="str">
        <f>IF(TRIM(INDEX(CongDoan!$A:$A,56))="","",IF(COUNTIF(INDEX(CongDoan!$A:$A,4):INDEX(CongDoan!$A:$A,56),INDEX(CongDoan!$A:$A,56))=1,MAX($E$1:E53)+1,""))</f>
        <v/>
      </c>
      <c r="F54" t="str">
        <f>IFERROR(INDEX(CongDoan!$A:$A,MATCH(ROW()-1,$E$2:$E$197,0)+3),"")</f>
        <v/>
      </c>
    </row>
    <row r="55">
      <c r="A55" t="str">
        <f>IF(TRIM(INDEX(DonGia!$A:$A,57))="","",IF(COUNTIF(INDEX(DonGia!$A:$A,4):INDEX(DonGia!$A:$A,57),INDEX(DonGia!$A:$A,57))=1,MAX($A$1:A54)+1,""))</f>
        <v/>
      </c>
      <c r="B55" t="str">
        <f>IFERROR(INDEX(DonGia!$A:$A,MATCH(ROW()-1,$A$2:$A$201,0)+3),"")</f>
        <v/>
      </c>
      <c r="C55" t="str">
        <f>IF(TRIM(INDEX(VatLieu!$A:$A,57))="","",IF(COUNTIF(INDEX(VatLieu!$A:$A,4):INDEX(VatLieu!$A:$A,57),INDEX(VatLieu!$A:$A,57))=1,MAX($C$1:C54)+1,""))</f>
        <v/>
      </c>
      <c r="D55" t="str">
        <f>IFERROR(INDEX(VatLieu!$A:$A,MATCH(ROW()-1,$C$2:$C$201,0)+3),"")</f>
        <v/>
      </c>
      <c r="E55" t="str">
        <f>IF(TRIM(INDEX(CongDoan!$A:$A,57))="","",IF(COUNTIF(INDEX(CongDoan!$A:$A,4):INDEX(CongDoan!$A:$A,57),INDEX(CongDoan!$A:$A,57))=1,MAX($E$1:E54)+1,""))</f>
        <v/>
      </c>
      <c r="F55" t="str">
        <f>IFERROR(INDEX(CongDoan!$A:$A,MATCH(ROW()-1,$E$2:$E$197,0)+3),"")</f>
        <v/>
      </c>
    </row>
    <row r="56">
      <c r="A56" t="str">
        <f>IF(TRIM(INDEX(DonGia!$A:$A,58))="","",IF(COUNTIF(INDEX(DonGia!$A:$A,4):INDEX(DonGia!$A:$A,58),INDEX(DonGia!$A:$A,58))=1,MAX($A$1:A55)+1,""))</f>
        <v/>
      </c>
      <c r="B56" t="str">
        <f>IFERROR(INDEX(DonGia!$A:$A,MATCH(ROW()-1,$A$2:$A$201,0)+3),"")</f>
        <v/>
      </c>
      <c r="C56" t="str">
        <f>IF(TRIM(INDEX(VatLieu!$A:$A,58))="","",IF(COUNTIF(INDEX(VatLieu!$A:$A,4):INDEX(VatLieu!$A:$A,58),INDEX(VatLieu!$A:$A,58))=1,MAX($C$1:C55)+1,""))</f>
        <v/>
      </c>
      <c r="D56" t="str">
        <f>IFERROR(INDEX(VatLieu!$A:$A,MATCH(ROW()-1,$C$2:$C$201,0)+3),"")</f>
        <v/>
      </c>
      <c r="E56" t="str">
        <f>IF(TRIM(INDEX(CongDoan!$A:$A,58))="","",IF(COUNTIF(INDEX(CongDoan!$A:$A,4):INDEX(CongDoan!$A:$A,58),INDEX(CongDoan!$A:$A,58))=1,MAX($E$1:E55)+1,""))</f>
        <v/>
      </c>
      <c r="F56" t="str">
        <f>IFERROR(INDEX(CongDoan!$A:$A,MATCH(ROW()-1,$E$2:$E$197,0)+3),"")</f>
        <v/>
      </c>
    </row>
    <row r="57">
      <c r="A57" t="str">
        <f>IF(TRIM(INDEX(DonGia!$A:$A,59))="","",IF(COUNTIF(INDEX(DonGia!$A:$A,4):INDEX(DonGia!$A:$A,59),INDEX(DonGia!$A:$A,59))=1,MAX($A$1:A56)+1,""))</f>
        <v/>
      </c>
      <c r="B57" t="str">
        <f>IFERROR(INDEX(DonGia!$A:$A,MATCH(ROW()-1,$A$2:$A$201,0)+3),"")</f>
        <v/>
      </c>
      <c r="C57" t="str">
        <f>IF(TRIM(INDEX(VatLieu!$A:$A,59))="","",IF(COUNTIF(INDEX(VatLieu!$A:$A,4):INDEX(VatLieu!$A:$A,59),INDEX(VatLieu!$A:$A,59))=1,MAX($C$1:C56)+1,""))</f>
        <v/>
      </c>
      <c r="D57" t="str">
        <f>IFERROR(INDEX(VatLieu!$A:$A,MATCH(ROW()-1,$C$2:$C$201,0)+3),"")</f>
        <v/>
      </c>
      <c r="E57" t="str">
        <f>IF(TRIM(INDEX(CongDoan!$A:$A,59))="","",IF(COUNTIF(INDEX(CongDoan!$A:$A,4):INDEX(CongDoan!$A:$A,59),INDEX(CongDoan!$A:$A,59))=1,MAX($E$1:E56)+1,""))</f>
        <v/>
      </c>
      <c r="F57" t="str">
        <f>IFERROR(INDEX(CongDoan!$A:$A,MATCH(ROW()-1,$E$2:$E$197,0)+3),"")</f>
        <v/>
      </c>
    </row>
    <row r="58">
      <c r="A58" t="str">
        <f>IF(TRIM(INDEX(DonGia!$A:$A,60))="","",IF(COUNTIF(INDEX(DonGia!$A:$A,4):INDEX(DonGia!$A:$A,60),INDEX(DonGia!$A:$A,60))=1,MAX($A$1:A57)+1,""))</f>
        <v/>
      </c>
      <c r="B58" t="str">
        <f>IFERROR(INDEX(DonGia!$A:$A,MATCH(ROW()-1,$A$2:$A$201,0)+3),"")</f>
        <v/>
      </c>
      <c r="C58" t="str">
        <f>IF(TRIM(INDEX(VatLieu!$A:$A,60))="","",IF(COUNTIF(INDEX(VatLieu!$A:$A,4):INDEX(VatLieu!$A:$A,60),INDEX(VatLieu!$A:$A,60))=1,MAX($C$1:C57)+1,""))</f>
        <v/>
      </c>
      <c r="D58" t="str">
        <f>IFERROR(INDEX(VatLieu!$A:$A,MATCH(ROW()-1,$C$2:$C$201,0)+3),"")</f>
        <v/>
      </c>
      <c r="E58" t="str">
        <f>IF(TRIM(INDEX(CongDoan!$A:$A,60))="","",IF(COUNTIF(INDEX(CongDoan!$A:$A,4):INDEX(CongDoan!$A:$A,60),INDEX(CongDoan!$A:$A,60))=1,MAX($E$1:E57)+1,""))</f>
        <v/>
      </c>
      <c r="F58" t="str">
        <f>IFERROR(INDEX(CongDoan!$A:$A,MATCH(ROW()-1,$E$2:$E$197,0)+3),"")</f>
        <v/>
      </c>
    </row>
    <row r="59">
      <c r="A59" t="str">
        <f>IF(TRIM(INDEX(DonGia!$A:$A,61))="","",IF(COUNTIF(INDEX(DonGia!$A:$A,4):INDEX(DonGia!$A:$A,61),INDEX(DonGia!$A:$A,61))=1,MAX($A$1:A58)+1,""))</f>
        <v/>
      </c>
      <c r="B59" t="str">
        <f>IFERROR(INDEX(DonGia!$A:$A,MATCH(ROW()-1,$A$2:$A$201,0)+3),"")</f>
        <v/>
      </c>
      <c r="C59" t="str">
        <f>IF(TRIM(INDEX(VatLieu!$A:$A,61))="","",IF(COUNTIF(INDEX(VatLieu!$A:$A,4):INDEX(VatLieu!$A:$A,61),INDEX(VatLieu!$A:$A,61))=1,MAX($C$1:C58)+1,""))</f>
        <v/>
      </c>
      <c r="D59" t="str">
        <f>IFERROR(INDEX(VatLieu!$A:$A,MATCH(ROW()-1,$C$2:$C$201,0)+3),"")</f>
        <v/>
      </c>
      <c r="E59" t="str">
        <f>IF(TRIM(INDEX(CongDoan!$A:$A,61))="","",IF(COUNTIF(INDEX(CongDoan!$A:$A,4):INDEX(CongDoan!$A:$A,61),INDEX(CongDoan!$A:$A,61))=1,MAX($E$1:E58)+1,""))</f>
        <v/>
      </c>
      <c r="F59" t="str">
        <f>IFERROR(INDEX(CongDoan!$A:$A,MATCH(ROW()-1,$E$2:$E$197,0)+3),"")</f>
        <v/>
      </c>
    </row>
    <row r="60">
      <c r="A60" t="str">
        <f>IF(TRIM(INDEX(DonGia!$A:$A,62))="","",IF(COUNTIF(INDEX(DonGia!$A:$A,4):INDEX(DonGia!$A:$A,62),INDEX(DonGia!$A:$A,62))=1,MAX($A$1:A59)+1,""))</f>
        <v/>
      </c>
      <c r="B60" t="str">
        <f>IFERROR(INDEX(DonGia!$A:$A,MATCH(ROW()-1,$A$2:$A$201,0)+3),"")</f>
        <v/>
      </c>
      <c r="C60" t="str">
        <f>IF(TRIM(INDEX(VatLieu!$A:$A,62))="","",IF(COUNTIF(INDEX(VatLieu!$A:$A,4):INDEX(VatLieu!$A:$A,62),INDEX(VatLieu!$A:$A,62))=1,MAX($C$1:C59)+1,""))</f>
        <v/>
      </c>
      <c r="D60" t="str">
        <f>IFERROR(INDEX(VatLieu!$A:$A,MATCH(ROW()-1,$C$2:$C$201,0)+3),"")</f>
        <v/>
      </c>
      <c r="E60" t="str">
        <f>IF(TRIM(INDEX(CongDoan!$A:$A,62))="","",IF(COUNTIF(INDEX(CongDoan!$A:$A,4):INDEX(CongDoan!$A:$A,62),INDEX(CongDoan!$A:$A,62))=1,MAX($E$1:E59)+1,""))</f>
        <v/>
      </c>
      <c r="F60" t="str">
        <f>IFERROR(INDEX(CongDoan!$A:$A,MATCH(ROW()-1,$E$2:$E$197,0)+3),"")</f>
        <v/>
      </c>
    </row>
    <row r="61">
      <c r="A61" t="str">
        <f>IF(TRIM(INDEX(DonGia!$A:$A,63))="","",IF(COUNTIF(INDEX(DonGia!$A:$A,4):INDEX(DonGia!$A:$A,63),INDEX(DonGia!$A:$A,63))=1,MAX($A$1:A60)+1,""))</f>
        <v/>
      </c>
      <c r="B61" t="str">
        <f>IFERROR(INDEX(DonGia!$A:$A,MATCH(ROW()-1,$A$2:$A$201,0)+3),"")</f>
        <v/>
      </c>
      <c r="C61" t="str">
        <f>IF(TRIM(INDEX(VatLieu!$A:$A,63))="","",IF(COUNTIF(INDEX(VatLieu!$A:$A,4):INDEX(VatLieu!$A:$A,63),INDEX(VatLieu!$A:$A,63))=1,MAX($C$1:C60)+1,""))</f>
        <v/>
      </c>
      <c r="D61" t="str">
        <f>IFERROR(INDEX(VatLieu!$A:$A,MATCH(ROW()-1,$C$2:$C$201,0)+3),"")</f>
        <v/>
      </c>
      <c r="E61" t="str">
        <f>IF(TRIM(INDEX(CongDoan!$A:$A,63))="","",IF(COUNTIF(INDEX(CongDoan!$A:$A,4):INDEX(CongDoan!$A:$A,63),INDEX(CongDoan!$A:$A,63))=1,MAX($E$1:E60)+1,""))</f>
        <v/>
      </c>
      <c r="F61" t="str">
        <f>IFERROR(INDEX(CongDoan!$A:$A,MATCH(ROW()-1,$E$2:$E$197,0)+3),"")</f>
        <v/>
      </c>
    </row>
    <row r="62">
      <c r="A62" t="str">
        <f>IF(TRIM(INDEX(DonGia!$A:$A,64))="","",IF(COUNTIF(INDEX(DonGia!$A:$A,4):INDEX(DonGia!$A:$A,64),INDEX(DonGia!$A:$A,64))=1,MAX($A$1:A61)+1,""))</f>
        <v/>
      </c>
      <c r="B62" t="str">
        <f>IFERROR(INDEX(DonGia!$A:$A,MATCH(ROW()-1,$A$2:$A$201,0)+3),"")</f>
        <v/>
      </c>
      <c r="C62" t="str">
        <f>IF(TRIM(INDEX(VatLieu!$A:$A,64))="","",IF(COUNTIF(INDEX(VatLieu!$A:$A,4):INDEX(VatLieu!$A:$A,64),INDEX(VatLieu!$A:$A,64))=1,MAX($C$1:C61)+1,""))</f>
        <v/>
      </c>
      <c r="D62" t="str">
        <f>IFERROR(INDEX(VatLieu!$A:$A,MATCH(ROW()-1,$C$2:$C$201,0)+3),"")</f>
        <v/>
      </c>
      <c r="E62" t="str">
        <f>IF(TRIM(INDEX(CongDoan!$A:$A,64))="","",IF(COUNTIF(INDEX(CongDoan!$A:$A,4):INDEX(CongDoan!$A:$A,64),INDEX(CongDoan!$A:$A,64))=1,MAX($E$1:E61)+1,""))</f>
        <v/>
      </c>
      <c r="F62" t="str">
        <f>IFERROR(INDEX(CongDoan!$A:$A,MATCH(ROW()-1,$E$2:$E$197,0)+3),"")</f>
        <v/>
      </c>
    </row>
    <row r="63">
      <c r="A63" t="str">
        <f>IF(TRIM(INDEX(DonGia!$A:$A,65))="","",IF(COUNTIF(INDEX(DonGia!$A:$A,4):INDEX(DonGia!$A:$A,65),INDEX(DonGia!$A:$A,65))=1,MAX($A$1:A62)+1,""))</f>
        <v/>
      </c>
      <c r="B63" t="str">
        <f>IFERROR(INDEX(DonGia!$A:$A,MATCH(ROW()-1,$A$2:$A$201,0)+3),"")</f>
        <v/>
      </c>
      <c r="C63" t="str">
        <f>IF(TRIM(INDEX(VatLieu!$A:$A,65))="","",IF(COUNTIF(INDEX(VatLieu!$A:$A,4):INDEX(VatLieu!$A:$A,65),INDEX(VatLieu!$A:$A,65))=1,MAX($C$1:C62)+1,""))</f>
        <v/>
      </c>
      <c r="D63" t="str">
        <f>IFERROR(INDEX(VatLieu!$A:$A,MATCH(ROW()-1,$C$2:$C$201,0)+3),"")</f>
        <v/>
      </c>
      <c r="E63" t="str">
        <f>IF(TRIM(INDEX(CongDoan!$A:$A,65))="","",IF(COUNTIF(INDEX(CongDoan!$A:$A,4):INDEX(CongDoan!$A:$A,65),INDEX(CongDoan!$A:$A,65))=1,MAX($E$1:E62)+1,""))</f>
        <v/>
      </c>
      <c r="F63" t="str">
        <f>IFERROR(INDEX(CongDoan!$A:$A,MATCH(ROW()-1,$E$2:$E$197,0)+3),"")</f>
        <v/>
      </c>
    </row>
    <row r="64">
      <c r="A64" t="str">
        <f>IF(TRIM(INDEX(DonGia!$A:$A,66))="","",IF(COUNTIF(INDEX(DonGia!$A:$A,4):INDEX(DonGia!$A:$A,66),INDEX(DonGia!$A:$A,66))=1,MAX($A$1:A63)+1,""))</f>
        <v/>
      </c>
      <c r="B64" t="str">
        <f>IFERROR(INDEX(DonGia!$A:$A,MATCH(ROW()-1,$A$2:$A$201,0)+3),"")</f>
        <v/>
      </c>
      <c r="C64" t="str">
        <f>IF(TRIM(INDEX(VatLieu!$A:$A,66))="","",IF(COUNTIF(INDEX(VatLieu!$A:$A,4):INDEX(VatLieu!$A:$A,66),INDEX(VatLieu!$A:$A,66))=1,MAX($C$1:C63)+1,""))</f>
        <v/>
      </c>
      <c r="D64" t="str">
        <f>IFERROR(INDEX(VatLieu!$A:$A,MATCH(ROW()-1,$C$2:$C$201,0)+3),"")</f>
        <v/>
      </c>
      <c r="E64" t="str">
        <f>IF(TRIM(INDEX(CongDoan!$A:$A,66))="","",IF(COUNTIF(INDEX(CongDoan!$A:$A,4):INDEX(CongDoan!$A:$A,66),INDEX(CongDoan!$A:$A,66))=1,MAX($E$1:E63)+1,""))</f>
        <v/>
      </c>
      <c r="F64" t="str">
        <f>IFERROR(INDEX(CongDoan!$A:$A,MATCH(ROW()-1,$E$2:$E$197,0)+3),"")</f>
        <v/>
      </c>
    </row>
    <row r="65">
      <c r="A65" t="str">
        <f>IF(TRIM(INDEX(DonGia!$A:$A,67))="","",IF(COUNTIF(INDEX(DonGia!$A:$A,4):INDEX(DonGia!$A:$A,67),INDEX(DonGia!$A:$A,67))=1,MAX($A$1:A64)+1,""))</f>
        <v/>
      </c>
      <c r="B65" t="str">
        <f>IFERROR(INDEX(DonGia!$A:$A,MATCH(ROW()-1,$A$2:$A$201,0)+3),"")</f>
        <v/>
      </c>
      <c r="C65" t="str">
        <f>IF(TRIM(INDEX(VatLieu!$A:$A,67))="","",IF(COUNTIF(INDEX(VatLieu!$A:$A,4):INDEX(VatLieu!$A:$A,67),INDEX(VatLieu!$A:$A,67))=1,MAX($C$1:C64)+1,""))</f>
        <v/>
      </c>
      <c r="D65" t="str">
        <f>IFERROR(INDEX(VatLieu!$A:$A,MATCH(ROW()-1,$C$2:$C$201,0)+3),"")</f>
        <v/>
      </c>
      <c r="E65" t="str">
        <f>IF(TRIM(INDEX(CongDoan!$A:$A,67))="","",IF(COUNTIF(INDEX(CongDoan!$A:$A,4):INDEX(CongDoan!$A:$A,67),INDEX(CongDoan!$A:$A,67))=1,MAX($E$1:E64)+1,""))</f>
        <v/>
      </c>
      <c r="F65" t="str">
        <f>IFERROR(INDEX(CongDoan!$A:$A,MATCH(ROW()-1,$E$2:$E$197,0)+3),"")</f>
        <v/>
      </c>
    </row>
    <row r="66">
      <c r="A66" t="str">
        <f>IF(TRIM(INDEX(DonGia!$A:$A,68))="","",IF(COUNTIF(INDEX(DonGia!$A:$A,4):INDEX(DonGia!$A:$A,68),INDEX(DonGia!$A:$A,68))=1,MAX($A$1:A65)+1,""))</f>
        <v/>
      </c>
      <c r="B66" t="str">
        <f>IFERROR(INDEX(DonGia!$A:$A,MATCH(ROW()-1,$A$2:$A$201,0)+3),"")</f>
        <v/>
      </c>
      <c r="C66" t="str">
        <f>IF(TRIM(INDEX(VatLieu!$A:$A,68))="","",IF(COUNTIF(INDEX(VatLieu!$A:$A,4):INDEX(VatLieu!$A:$A,68),INDEX(VatLieu!$A:$A,68))=1,MAX($C$1:C65)+1,""))</f>
        <v/>
      </c>
      <c r="D66" t="str">
        <f>IFERROR(INDEX(VatLieu!$A:$A,MATCH(ROW()-1,$C$2:$C$201,0)+3),"")</f>
        <v/>
      </c>
      <c r="E66" t="str">
        <f>IF(TRIM(INDEX(CongDoan!$A:$A,68))="","",IF(COUNTIF(INDEX(CongDoan!$A:$A,4):INDEX(CongDoan!$A:$A,68),INDEX(CongDoan!$A:$A,68))=1,MAX($E$1:E65)+1,""))</f>
        <v/>
      </c>
      <c r="F66" t="str">
        <f>IFERROR(INDEX(CongDoan!$A:$A,MATCH(ROW()-1,$E$2:$E$197,0)+3),"")</f>
        <v/>
      </c>
    </row>
    <row r="67">
      <c r="A67" t="str">
        <f>IF(TRIM(INDEX(DonGia!$A:$A,69))="","",IF(COUNTIF(INDEX(DonGia!$A:$A,4):INDEX(DonGia!$A:$A,69),INDEX(DonGia!$A:$A,69))=1,MAX($A$1:A66)+1,""))</f>
        <v/>
      </c>
      <c r="B67" t="str">
        <f>IFERROR(INDEX(DonGia!$A:$A,MATCH(ROW()-1,$A$2:$A$201,0)+3),"")</f>
        <v/>
      </c>
      <c r="C67" t="str">
        <f>IF(TRIM(INDEX(VatLieu!$A:$A,69))="","",IF(COUNTIF(INDEX(VatLieu!$A:$A,4):INDEX(VatLieu!$A:$A,69),INDEX(VatLieu!$A:$A,69))=1,MAX($C$1:C66)+1,""))</f>
        <v/>
      </c>
      <c r="D67" t="str">
        <f>IFERROR(INDEX(VatLieu!$A:$A,MATCH(ROW()-1,$C$2:$C$201,0)+3),"")</f>
        <v/>
      </c>
      <c r="E67" t="str">
        <f>IF(TRIM(INDEX(CongDoan!$A:$A,69))="","",IF(COUNTIF(INDEX(CongDoan!$A:$A,4):INDEX(CongDoan!$A:$A,69),INDEX(CongDoan!$A:$A,69))=1,MAX($E$1:E66)+1,""))</f>
        <v/>
      </c>
      <c r="F67" t="str">
        <f>IFERROR(INDEX(CongDoan!$A:$A,MATCH(ROW()-1,$E$2:$E$197,0)+3),"")</f>
        <v/>
      </c>
    </row>
    <row r="68">
      <c r="A68" t="str">
        <f>IF(TRIM(INDEX(DonGia!$A:$A,70))="","",IF(COUNTIF(INDEX(DonGia!$A:$A,4):INDEX(DonGia!$A:$A,70),INDEX(DonGia!$A:$A,70))=1,MAX($A$1:A67)+1,""))</f>
        <v/>
      </c>
      <c r="B68" t="str">
        <f>IFERROR(INDEX(DonGia!$A:$A,MATCH(ROW()-1,$A$2:$A$201,0)+3),"")</f>
        <v/>
      </c>
      <c r="C68" t="str">
        <f>IF(TRIM(INDEX(VatLieu!$A:$A,70))="","",IF(COUNTIF(INDEX(VatLieu!$A:$A,4):INDEX(VatLieu!$A:$A,70),INDEX(VatLieu!$A:$A,70))=1,MAX($C$1:C67)+1,""))</f>
        <v/>
      </c>
      <c r="D68" t="str">
        <f>IFERROR(INDEX(VatLieu!$A:$A,MATCH(ROW()-1,$C$2:$C$201,0)+3),"")</f>
        <v/>
      </c>
      <c r="E68" t="str">
        <f>IF(TRIM(INDEX(CongDoan!$A:$A,70))="","",IF(COUNTIF(INDEX(CongDoan!$A:$A,4):INDEX(CongDoan!$A:$A,70),INDEX(CongDoan!$A:$A,70))=1,MAX($E$1:E67)+1,""))</f>
        <v/>
      </c>
      <c r="F68" t="str">
        <f>IFERROR(INDEX(CongDoan!$A:$A,MATCH(ROW()-1,$E$2:$E$197,0)+3),"")</f>
        <v/>
      </c>
    </row>
    <row r="69">
      <c r="A69" t="str">
        <f>IF(TRIM(INDEX(DonGia!$A:$A,71))="","",IF(COUNTIF(INDEX(DonGia!$A:$A,4):INDEX(DonGia!$A:$A,71),INDEX(DonGia!$A:$A,71))=1,MAX($A$1:A68)+1,""))</f>
        <v/>
      </c>
      <c r="B69" t="str">
        <f>IFERROR(INDEX(DonGia!$A:$A,MATCH(ROW()-1,$A$2:$A$201,0)+3),"")</f>
        <v/>
      </c>
      <c r="C69" t="str">
        <f>IF(TRIM(INDEX(VatLieu!$A:$A,71))="","",IF(COUNTIF(INDEX(VatLieu!$A:$A,4):INDEX(VatLieu!$A:$A,71),INDEX(VatLieu!$A:$A,71))=1,MAX($C$1:C68)+1,""))</f>
        <v/>
      </c>
      <c r="D69" t="str">
        <f>IFERROR(INDEX(VatLieu!$A:$A,MATCH(ROW()-1,$C$2:$C$201,0)+3),"")</f>
        <v/>
      </c>
      <c r="E69" t="str">
        <f>IF(TRIM(INDEX(CongDoan!$A:$A,71))="","",IF(COUNTIF(INDEX(CongDoan!$A:$A,4):INDEX(CongDoan!$A:$A,71),INDEX(CongDoan!$A:$A,71))=1,MAX($E$1:E68)+1,""))</f>
        <v/>
      </c>
      <c r="F69" t="str">
        <f>IFERROR(INDEX(CongDoan!$A:$A,MATCH(ROW()-1,$E$2:$E$197,0)+3),"")</f>
        <v/>
      </c>
    </row>
    <row r="70">
      <c r="A70" t="str">
        <f>IF(TRIM(INDEX(DonGia!$A:$A,72))="","",IF(COUNTIF(INDEX(DonGia!$A:$A,4):INDEX(DonGia!$A:$A,72),INDEX(DonGia!$A:$A,72))=1,MAX($A$1:A69)+1,""))</f>
        <v/>
      </c>
      <c r="B70" t="str">
        <f>IFERROR(INDEX(DonGia!$A:$A,MATCH(ROW()-1,$A$2:$A$201,0)+3),"")</f>
        <v/>
      </c>
      <c r="C70" t="str">
        <f>IF(TRIM(INDEX(VatLieu!$A:$A,72))="","",IF(COUNTIF(INDEX(VatLieu!$A:$A,4):INDEX(VatLieu!$A:$A,72),INDEX(VatLieu!$A:$A,72))=1,MAX($C$1:C69)+1,""))</f>
        <v/>
      </c>
      <c r="D70" t="str">
        <f>IFERROR(INDEX(VatLieu!$A:$A,MATCH(ROW()-1,$C$2:$C$201,0)+3),"")</f>
        <v/>
      </c>
      <c r="E70" t="str">
        <f>IF(TRIM(INDEX(CongDoan!$A:$A,72))="","",IF(COUNTIF(INDEX(CongDoan!$A:$A,4):INDEX(CongDoan!$A:$A,72),INDEX(CongDoan!$A:$A,72))=1,MAX($E$1:E69)+1,""))</f>
        <v/>
      </c>
      <c r="F70" t="str">
        <f>IFERROR(INDEX(CongDoan!$A:$A,MATCH(ROW()-1,$E$2:$E$197,0)+3),"")</f>
        <v/>
      </c>
    </row>
    <row r="71">
      <c r="A71" t="str">
        <f>IF(TRIM(INDEX(DonGia!$A:$A,73))="","",IF(COUNTIF(INDEX(DonGia!$A:$A,4):INDEX(DonGia!$A:$A,73),INDEX(DonGia!$A:$A,73))=1,MAX($A$1:A70)+1,""))</f>
        <v/>
      </c>
      <c r="B71" t="str">
        <f>IFERROR(INDEX(DonGia!$A:$A,MATCH(ROW()-1,$A$2:$A$201,0)+3),"")</f>
        <v/>
      </c>
      <c r="C71" t="str">
        <f>IF(TRIM(INDEX(VatLieu!$A:$A,73))="","",IF(COUNTIF(INDEX(VatLieu!$A:$A,4):INDEX(VatLieu!$A:$A,73),INDEX(VatLieu!$A:$A,73))=1,MAX($C$1:C70)+1,""))</f>
        <v/>
      </c>
      <c r="D71" t="str">
        <f>IFERROR(INDEX(VatLieu!$A:$A,MATCH(ROW()-1,$C$2:$C$201,0)+3),"")</f>
        <v/>
      </c>
      <c r="E71" t="str">
        <f>IF(TRIM(INDEX(CongDoan!$A:$A,73))="","",IF(COUNTIF(INDEX(CongDoan!$A:$A,4):INDEX(CongDoan!$A:$A,73),INDEX(CongDoan!$A:$A,73))=1,MAX($E$1:E70)+1,""))</f>
        <v/>
      </c>
      <c r="F71" t="str">
        <f>IFERROR(INDEX(CongDoan!$A:$A,MATCH(ROW()-1,$E$2:$E$197,0)+3),"")</f>
        <v/>
      </c>
    </row>
    <row r="72">
      <c r="A72" t="str">
        <f>IF(TRIM(INDEX(DonGia!$A:$A,74))="","",IF(COUNTIF(INDEX(DonGia!$A:$A,4):INDEX(DonGia!$A:$A,74),INDEX(DonGia!$A:$A,74))=1,MAX($A$1:A71)+1,""))</f>
        <v/>
      </c>
      <c r="B72" t="str">
        <f>IFERROR(INDEX(DonGia!$A:$A,MATCH(ROW()-1,$A$2:$A$201,0)+3),"")</f>
        <v/>
      </c>
      <c r="C72" t="str">
        <f>IF(TRIM(INDEX(VatLieu!$A:$A,74))="","",IF(COUNTIF(INDEX(VatLieu!$A:$A,4):INDEX(VatLieu!$A:$A,74),INDEX(VatLieu!$A:$A,74))=1,MAX($C$1:C71)+1,""))</f>
        <v/>
      </c>
      <c r="D72" t="str">
        <f>IFERROR(INDEX(VatLieu!$A:$A,MATCH(ROW()-1,$C$2:$C$201,0)+3),"")</f>
        <v/>
      </c>
      <c r="E72" t="str">
        <f>IF(TRIM(INDEX(CongDoan!$A:$A,74))="","",IF(COUNTIF(INDEX(CongDoan!$A:$A,4):INDEX(CongDoan!$A:$A,74),INDEX(CongDoan!$A:$A,74))=1,MAX($E$1:E71)+1,""))</f>
        <v/>
      </c>
      <c r="F72" t="str">
        <f>IFERROR(INDEX(CongDoan!$A:$A,MATCH(ROW()-1,$E$2:$E$197,0)+3),"")</f>
        <v/>
      </c>
    </row>
    <row r="73">
      <c r="A73" t="str">
        <f>IF(TRIM(INDEX(DonGia!$A:$A,75))="","",IF(COUNTIF(INDEX(DonGia!$A:$A,4):INDEX(DonGia!$A:$A,75),INDEX(DonGia!$A:$A,75))=1,MAX($A$1:A72)+1,""))</f>
        <v/>
      </c>
      <c r="B73" t="str">
        <f>IFERROR(INDEX(DonGia!$A:$A,MATCH(ROW()-1,$A$2:$A$201,0)+3),"")</f>
        <v/>
      </c>
      <c r="C73" t="str">
        <f>IF(TRIM(INDEX(VatLieu!$A:$A,75))="","",IF(COUNTIF(INDEX(VatLieu!$A:$A,4):INDEX(VatLieu!$A:$A,75),INDEX(VatLieu!$A:$A,75))=1,MAX($C$1:C72)+1,""))</f>
        <v/>
      </c>
      <c r="D73" t="str">
        <f>IFERROR(INDEX(VatLieu!$A:$A,MATCH(ROW()-1,$C$2:$C$201,0)+3),"")</f>
        <v/>
      </c>
      <c r="E73" t="str">
        <f>IF(TRIM(INDEX(CongDoan!$A:$A,75))="","",IF(COUNTIF(INDEX(CongDoan!$A:$A,4):INDEX(CongDoan!$A:$A,75),INDEX(CongDoan!$A:$A,75))=1,MAX($E$1:E72)+1,""))</f>
        <v/>
      </c>
      <c r="F73" t="str">
        <f>IFERROR(INDEX(CongDoan!$A:$A,MATCH(ROW()-1,$E$2:$E$197,0)+3),"")</f>
        <v/>
      </c>
    </row>
    <row r="74">
      <c r="A74" t="str">
        <f>IF(TRIM(INDEX(DonGia!$A:$A,76))="","",IF(COUNTIF(INDEX(DonGia!$A:$A,4):INDEX(DonGia!$A:$A,76),INDEX(DonGia!$A:$A,76))=1,MAX($A$1:A73)+1,""))</f>
        <v/>
      </c>
      <c r="B74" t="str">
        <f>IFERROR(INDEX(DonGia!$A:$A,MATCH(ROW()-1,$A$2:$A$201,0)+3),"")</f>
        <v/>
      </c>
      <c r="C74" t="str">
        <f>IF(TRIM(INDEX(VatLieu!$A:$A,76))="","",IF(COUNTIF(INDEX(VatLieu!$A:$A,4):INDEX(VatLieu!$A:$A,76),INDEX(VatLieu!$A:$A,76))=1,MAX($C$1:C73)+1,""))</f>
        <v/>
      </c>
      <c r="D74" t="str">
        <f>IFERROR(INDEX(VatLieu!$A:$A,MATCH(ROW()-1,$C$2:$C$201,0)+3),"")</f>
        <v/>
      </c>
      <c r="E74" t="str">
        <f>IF(TRIM(INDEX(CongDoan!$A:$A,76))="","",IF(COUNTIF(INDEX(CongDoan!$A:$A,4):INDEX(CongDoan!$A:$A,76),INDEX(CongDoan!$A:$A,76))=1,MAX($E$1:E73)+1,""))</f>
        <v/>
      </c>
      <c r="F74" t="str">
        <f>IFERROR(INDEX(CongDoan!$A:$A,MATCH(ROW()-1,$E$2:$E$197,0)+3),"")</f>
        <v/>
      </c>
    </row>
    <row r="75">
      <c r="A75" t="str">
        <f>IF(TRIM(INDEX(DonGia!$A:$A,77))="","",IF(COUNTIF(INDEX(DonGia!$A:$A,4):INDEX(DonGia!$A:$A,77),INDEX(DonGia!$A:$A,77))=1,MAX($A$1:A74)+1,""))</f>
        <v/>
      </c>
      <c r="B75" t="str">
        <f>IFERROR(INDEX(DonGia!$A:$A,MATCH(ROW()-1,$A$2:$A$201,0)+3),"")</f>
        <v/>
      </c>
      <c r="C75" t="str">
        <f>IF(TRIM(INDEX(VatLieu!$A:$A,77))="","",IF(COUNTIF(INDEX(VatLieu!$A:$A,4):INDEX(VatLieu!$A:$A,77),INDEX(VatLieu!$A:$A,77))=1,MAX($C$1:C74)+1,""))</f>
        <v/>
      </c>
      <c r="D75" t="str">
        <f>IFERROR(INDEX(VatLieu!$A:$A,MATCH(ROW()-1,$C$2:$C$201,0)+3),"")</f>
        <v/>
      </c>
      <c r="E75" t="str">
        <f>IF(TRIM(INDEX(CongDoan!$A:$A,77))="","",IF(COUNTIF(INDEX(CongDoan!$A:$A,4):INDEX(CongDoan!$A:$A,77),INDEX(CongDoan!$A:$A,77))=1,MAX($E$1:E74)+1,""))</f>
        <v/>
      </c>
      <c r="F75" t="str">
        <f>IFERROR(INDEX(CongDoan!$A:$A,MATCH(ROW()-1,$E$2:$E$197,0)+3),"")</f>
        <v/>
      </c>
    </row>
    <row r="76">
      <c r="A76" t="str">
        <f>IF(TRIM(INDEX(DonGia!$A:$A,78))="","",IF(COUNTIF(INDEX(DonGia!$A:$A,4):INDEX(DonGia!$A:$A,78),INDEX(DonGia!$A:$A,78))=1,MAX($A$1:A75)+1,""))</f>
        <v/>
      </c>
      <c r="B76" t="str">
        <f>IFERROR(INDEX(DonGia!$A:$A,MATCH(ROW()-1,$A$2:$A$201,0)+3),"")</f>
        <v/>
      </c>
      <c r="C76" t="str">
        <f>IF(TRIM(INDEX(VatLieu!$A:$A,78))="","",IF(COUNTIF(INDEX(VatLieu!$A:$A,4):INDEX(VatLieu!$A:$A,78),INDEX(VatLieu!$A:$A,78))=1,MAX($C$1:C75)+1,""))</f>
        <v/>
      </c>
      <c r="D76" t="str">
        <f>IFERROR(INDEX(VatLieu!$A:$A,MATCH(ROW()-1,$C$2:$C$201,0)+3),"")</f>
        <v/>
      </c>
      <c r="E76" t="str">
        <f>IF(TRIM(INDEX(CongDoan!$A:$A,78))="","",IF(COUNTIF(INDEX(CongDoan!$A:$A,4):INDEX(CongDoan!$A:$A,78),INDEX(CongDoan!$A:$A,78))=1,MAX($E$1:E75)+1,""))</f>
        <v/>
      </c>
      <c r="F76" t="str">
        <f>IFERROR(INDEX(CongDoan!$A:$A,MATCH(ROW()-1,$E$2:$E$197,0)+3),"")</f>
        <v/>
      </c>
    </row>
    <row r="77">
      <c r="A77" t="str">
        <f>IF(TRIM(INDEX(DonGia!$A:$A,79))="","",IF(COUNTIF(INDEX(DonGia!$A:$A,4):INDEX(DonGia!$A:$A,79),INDEX(DonGia!$A:$A,79))=1,MAX($A$1:A76)+1,""))</f>
        <v/>
      </c>
      <c r="B77" t="str">
        <f>IFERROR(INDEX(DonGia!$A:$A,MATCH(ROW()-1,$A$2:$A$201,0)+3),"")</f>
        <v/>
      </c>
      <c r="C77" t="str">
        <f>IF(TRIM(INDEX(VatLieu!$A:$A,79))="","",IF(COUNTIF(INDEX(VatLieu!$A:$A,4):INDEX(VatLieu!$A:$A,79),INDEX(VatLieu!$A:$A,79))=1,MAX($C$1:C76)+1,""))</f>
        <v/>
      </c>
      <c r="D77" t="str">
        <f>IFERROR(INDEX(VatLieu!$A:$A,MATCH(ROW()-1,$C$2:$C$201,0)+3),"")</f>
        <v/>
      </c>
      <c r="E77" t="str">
        <f>IF(TRIM(INDEX(CongDoan!$A:$A,79))="","",IF(COUNTIF(INDEX(CongDoan!$A:$A,4):INDEX(CongDoan!$A:$A,79),INDEX(CongDoan!$A:$A,79))=1,MAX($E$1:E76)+1,""))</f>
        <v/>
      </c>
      <c r="F77" t="str">
        <f>IFERROR(INDEX(CongDoan!$A:$A,MATCH(ROW()-1,$E$2:$E$197,0)+3),"")</f>
        <v/>
      </c>
    </row>
    <row r="78">
      <c r="A78" t="str">
        <f>IF(TRIM(INDEX(DonGia!$A:$A,80))="","",IF(COUNTIF(INDEX(DonGia!$A:$A,4):INDEX(DonGia!$A:$A,80),INDEX(DonGia!$A:$A,80))=1,MAX($A$1:A77)+1,""))</f>
        <v/>
      </c>
      <c r="B78" t="str">
        <f>IFERROR(INDEX(DonGia!$A:$A,MATCH(ROW()-1,$A$2:$A$201,0)+3),"")</f>
        <v/>
      </c>
      <c r="C78" t="str">
        <f>IF(TRIM(INDEX(VatLieu!$A:$A,80))="","",IF(COUNTIF(INDEX(VatLieu!$A:$A,4):INDEX(VatLieu!$A:$A,80),INDEX(VatLieu!$A:$A,80))=1,MAX($C$1:C77)+1,""))</f>
        <v/>
      </c>
      <c r="D78" t="str">
        <f>IFERROR(INDEX(VatLieu!$A:$A,MATCH(ROW()-1,$C$2:$C$201,0)+3),"")</f>
        <v/>
      </c>
      <c r="E78" t="str">
        <f>IF(TRIM(INDEX(CongDoan!$A:$A,80))="","",IF(COUNTIF(INDEX(CongDoan!$A:$A,4):INDEX(CongDoan!$A:$A,80),INDEX(CongDoan!$A:$A,80))=1,MAX($E$1:E77)+1,""))</f>
        <v/>
      </c>
      <c r="F78" t="str">
        <f>IFERROR(INDEX(CongDoan!$A:$A,MATCH(ROW()-1,$E$2:$E$197,0)+3),"")</f>
        <v/>
      </c>
    </row>
    <row r="79">
      <c r="A79" t="str">
        <f>IF(TRIM(INDEX(DonGia!$A:$A,81))="","",IF(COUNTIF(INDEX(DonGia!$A:$A,4):INDEX(DonGia!$A:$A,81),INDEX(DonGia!$A:$A,81))=1,MAX($A$1:A78)+1,""))</f>
        <v/>
      </c>
      <c r="B79" t="str">
        <f>IFERROR(INDEX(DonGia!$A:$A,MATCH(ROW()-1,$A$2:$A$201,0)+3),"")</f>
        <v/>
      </c>
      <c r="C79" t="str">
        <f>IF(TRIM(INDEX(VatLieu!$A:$A,81))="","",IF(COUNTIF(INDEX(VatLieu!$A:$A,4):INDEX(VatLieu!$A:$A,81),INDEX(VatLieu!$A:$A,81))=1,MAX($C$1:C78)+1,""))</f>
        <v/>
      </c>
      <c r="D79" t="str">
        <f>IFERROR(INDEX(VatLieu!$A:$A,MATCH(ROW()-1,$C$2:$C$201,0)+3),"")</f>
        <v/>
      </c>
      <c r="E79" t="str">
        <f>IF(TRIM(INDEX(CongDoan!$A:$A,81))="","",IF(COUNTIF(INDEX(CongDoan!$A:$A,4):INDEX(CongDoan!$A:$A,81),INDEX(CongDoan!$A:$A,81))=1,MAX($E$1:E78)+1,""))</f>
        <v/>
      </c>
      <c r="F79" t="str">
        <f>IFERROR(INDEX(CongDoan!$A:$A,MATCH(ROW()-1,$E$2:$E$197,0)+3),"")</f>
        <v/>
      </c>
    </row>
    <row r="80">
      <c r="A80" t="str">
        <f>IF(TRIM(INDEX(DonGia!$A:$A,82))="","",IF(COUNTIF(INDEX(DonGia!$A:$A,4):INDEX(DonGia!$A:$A,82),INDEX(DonGia!$A:$A,82))=1,MAX($A$1:A79)+1,""))</f>
        <v/>
      </c>
      <c r="B80" t="str">
        <f>IFERROR(INDEX(DonGia!$A:$A,MATCH(ROW()-1,$A$2:$A$201,0)+3),"")</f>
        <v/>
      </c>
      <c r="C80" t="str">
        <f>IF(TRIM(INDEX(VatLieu!$A:$A,82))="","",IF(COUNTIF(INDEX(VatLieu!$A:$A,4):INDEX(VatLieu!$A:$A,82),INDEX(VatLieu!$A:$A,82))=1,MAX($C$1:C79)+1,""))</f>
        <v/>
      </c>
      <c r="D80" t="str">
        <f>IFERROR(INDEX(VatLieu!$A:$A,MATCH(ROW()-1,$C$2:$C$201,0)+3),"")</f>
        <v/>
      </c>
      <c r="E80" t="str">
        <f>IF(TRIM(INDEX(CongDoan!$A:$A,82))="","",IF(COUNTIF(INDEX(CongDoan!$A:$A,4):INDEX(CongDoan!$A:$A,82),INDEX(CongDoan!$A:$A,82))=1,MAX($E$1:E79)+1,""))</f>
        <v/>
      </c>
      <c r="F80" t="str">
        <f>IFERROR(INDEX(CongDoan!$A:$A,MATCH(ROW()-1,$E$2:$E$197,0)+3),"")</f>
        <v/>
      </c>
    </row>
    <row r="81">
      <c r="A81" t="str">
        <f>IF(TRIM(INDEX(DonGia!$A:$A,83))="","",IF(COUNTIF(INDEX(DonGia!$A:$A,4):INDEX(DonGia!$A:$A,83),INDEX(DonGia!$A:$A,83))=1,MAX($A$1:A80)+1,""))</f>
        <v/>
      </c>
      <c r="B81" t="str">
        <f>IFERROR(INDEX(DonGia!$A:$A,MATCH(ROW()-1,$A$2:$A$201,0)+3),"")</f>
        <v/>
      </c>
      <c r="C81" t="str">
        <f>IF(TRIM(INDEX(VatLieu!$A:$A,83))="","",IF(COUNTIF(INDEX(VatLieu!$A:$A,4):INDEX(VatLieu!$A:$A,83),INDEX(VatLieu!$A:$A,83))=1,MAX($C$1:C80)+1,""))</f>
        <v/>
      </c>
      <c r="D81" t="str">
        <f>IFERROR(INDEX(VatLieu!$A:$A,MATCH(ROW()-1,$C$2:$C$201,0)+3),"")</f>
        <v/>
      </c>
      <c r="E81" t="str">
        <f>IF(TRIM(INDEX(CongDoan!$A:$A,83))="","",IF(COUNTIF(INDEX(CongDoan!$A:$A,4):INDEX(CongDoan!$A:$A,83),INDEX(CongDoan!$A:$A,83))=1,MAX($E$1:E80)+1,""))</f>
        <v/>
      </c>
      <c r="F81" t="str">
        <f>IFERROR(INDEX(CongDoan!$A:$A,MATCH(ROW()-1,$E$2:$E$197,0)+3),"")</f>
        <v/>
      </c>
    </row>
    <row r="82">
      <c r="A82" t="str">
        <f>IF(TRIM(INDEX(DonGia!$A:$A,84))="","",IF(COUNTIF(INDEX(DonGia!$A:$A,4):INDEX(DonGia!$A:$A,84),INDEX(DonGia!$A:$A,84))=1,MAX($A$1:A81)+1,""))</f>
        <v/>
      </c>
      <c r="B82" t="str">
        <f>IFERROR(INDEX(DonGia!$A:$A,MATCH(ROW()-1,$A$2:$A$201,0)+3),"")</f>
        <v/>
      </c>
      <c r="C82" t="str">
        <f>IF(TRIM(INDEX(VatLieu!$A:$A,84))="","",IF(COUNTIF(INDEX(VatLieu!$A:$A,4):INDEX(VatLieu!$A:$A,84),INDEX(VatLieu!$A:$A,84))=1,MAX($C$1:C81)+1,""))</f>
        <v/>
      </c>
      <c r="D82" t="str">
        <f>IFERROR(INDEX(VatLieu!$A:$A,MATCH(ROW()-1,$C$2:$C$201,0)+3),"")</f>
        <v/>
      </c>
      <c r="E82" t="str">
        <f>IF(TRIM(INDEX(CongDoan!$A:$A,84))="","",IF(COUNTIF(INDEX(CongDoan!$A:$A,4):INDEX(CongDoan!$A:$A,84),INDEX(CongDoan!$A:$A,84))=1,MAX($E$1:E81)+1,""))</f>
        <v/>
      </c>
      <c r="F82" t="str">
        <f>IFERROR(INDEX(CongDoan!$A:$A,MATCH(ROW()-1,$E$2:$E$197,0)+3),"")</f>
        <v/>
      </c>
    </row>
    <row r="83">
      <c r="A83" t="str">
        <f>IF(TRIM(INDEX(DonGia!$A:$A,85))="","",IF(COUNTIF(INDEX(DonGia!$A:$A,4):INDEX(DonGia!$A:$A,85),INDEX(DonGia!$A:$A,85))=1,MAX($A$1:A82)+1,""))</f>
        <v/>
      </c>
      <c r="B83" t="str">
        <f>IFERROR(INDEX(DonGia!$A:$A,MATCH(ROW()-1,$A$2:$A$201,0)+3),"")</f>
        <v/>
      </c>
      <c r="C83" t="str">
        <f>IF(TRIM(INDEX(VatLieu!$A:$A,85))="","",IF(COUNTIF(INDEX(VatLieu!$A:$A,4):INDEX(VatLieu!$A:$A,85),INDEX(VatLieu!$A:$A,85))=1,MAX($C$1:C82)+1,""))</f>
        <v/>
      </c>
      <c r="D83" t="str">
        <f>IFERROR(INDEX(VatLieu!$A:$A,MATCH(ROW()-1,$C$2:$C$201,0)+3),"")</f>
        <v/>
      </c>
      <c r="E83" t="str">
        <f>IF(TRIM(INDEX(CongDoan!$A:$A,85))="","",IF(COUNTIF(INDEX(CongDoan!$A:$A,4):INDEX(CongDoan!$A:$A,85),INDEX(CongDoan!$A:$A,85))=1,MAX($E$1:E82)+1,""))</f>
        <v/>
      </c>
      <c r="F83" t="str">
        <f>IFERROR(INDEX(CongDoan!$A:$A,MATCH(ROW()-1,$E$2:$E$197,0)+3),"")</f>
        <v/>
      </c>
    </row>
    <row r="84">
      <c r="A84" t="str">
        <f>IF(TRIM(INDEX(DonGia!$A:$A,86))="","",IF(COUNTIF(INDEX(DonGia!$A:$A,4):INDEX(DonGia!$A:$A,86),INDEX(DonGia!$A:$A,86))=1,MAX($A$1:A83)+1,""))</f>
        <v/>
      </c>
      <c r="B84" t="str">
        <f>IFERROR(INDEX(DonGia!$A:$A,MATCH(ROW()-1,$A$2:$A$201,0)+3),"")</f>
        <v/>
      </c>
      <c r="C84" t="str">
        <f>IF(TRIM(INDEX(VatLieu!$A:$A,86))="","",IF(COUNTIF(INDEX(VatLieu!$A:$A,4):INDEX(VatLieu!$A:$A,86),INDEX(VatLieu!$A:$A,86))=1,MAX($C$1:C83)+1,""))</f>
        <v/>
      </c>
      <c r="D84" t="str">
        <f>IFERROR(INDEX(VatLieu!$A:$A,MATCH(ROW()-1,$C$2:$C$201,0)+3),"")</f>
        <v/>
      </c>
      <c r="E84" t="str">
        <f>IF(TRIM(INDEX(CongDoan!$A:$A,86))="","",IF(COUNTIF(INDEX(CongDoan!$A:$A,4):INDEX(CongDoan!$A:$A,86),INDEX(CongDoan!$A:$A,86))=1,MAX($E$1:E83)+1,""))</f>
        <v/>
      </c>
      <c r="F84" t="str">
        <f>IFERROR(INDEX(CongDoan!$A:$A,MATCH(ROW()-1,$E$2:$E$197,0)+3),"")</f>
        <v/>
      </c>
    </row>
    <row r="85">
      <c r="A85" t="str">
        <f>IF(TRIM(INDEX(DonGia!$A:$A,87))="","",IF(COUNTIF(INDEX(DonGia!$A:$A,4):INDEX(DonGia!$A:$A,87),INDEX(DonGia!$A:$A,87))=1,MAX($A$1:A84)+1,""))</f>
        <v/>
      </c>
      <c r="B85" t="str">
        <f>IFERROR(INDEX(DonGia!$A:$A,MATCH(ROW()-1,$A$2:$A$201,0)+3),"")</f>
        <v/>
      </c>
      <c r="C85" t="str">
        <f>IF(TRIM(INDEX(VatLieu!$A:$A,87))="","",IF(COUNTIF(INDEX(VatLieu!$A:$A,4):INDEX(VatLieu!$A:$A,87),INDEX(VatLieu!$A:$A,87))=1,MAX($C$1:C84)+1,""))</f>
        <v/>
      </c>
      <c r="D85" t="str">
        <f>IFERROR(INDEX(VatLieu!$A:$A,MATCH(ROW()-1,$C$2:$C$201,0)+3),"")</f>
        <v/>
      </c>
      <c r="E85" t="str">
        <f>IF(TRIM(INDEX(CongDoan!$A:$A,87))="","",IF(COUNTIF(INDEX(CongDoan!$A:$A,4):INDEX(CongDoan!$A:$A,87),INDEX(CongDoan!$A:$A,87))=1,MAX($E$1:E84)+1,""))</f>
        <v/>
      </c>
      <c r="F85" t="str">
        <f>IFERROR(INDEX(CongDoan!$A:$A,MATCH(ROW()-1,$E$2:$E$197,0)+3),"")</f>
        <v/>
      </c>
    </row>
    <row r="86">
      <c r="A86" t="str">
        <f>IF(TRIM(INDEX(DonGia!$A:$A,88))="","",IF(COUNTIF(INDEX(DonGia!$A:$A,4):INDEX(DonGia!$A:$A,88),INDEX(DonGia!$A:$A,88))=1,MAX($A$1:A85)+1,""))</f>
        <v/>
      </c>
      <c r="B86" t="str">
        <f>IFERROR(INDEX(DonGia!$A:$A,MATCH(ROW()-1,$A$2:$A$201,0)+3),"")</f>
        <v/>
      </c>
      <c r="C86" t="str">
        <f>IF(TRIM(INDEX(VatLieu!$A:$A,88))="","",IF(COUNTIF(INDEX(VatLieu!$A:$A,4):INDEX(VatLieu!$A:$A,88),INDEX(VatLieu!$A:$A,88))=1,MAX($C$1:C85)+1,""))</f>
        <v/>
      </c>
      <c r="D86" t="str">
        <f>IFERROR(INDEX(VatLieu!$A:$A,MATCH(ROW()-1,$C$2:$C$201,0)+3),"")</f>
        <v/>
      </c>
      <c r="E86" t="str">
        <f>IF(TRIM(INDEX(CongDoan!$A:$A,88))="","",IF(COUNTIF(INDEX(CongDoan!$A:$A,4):INDEX(CongDoan!$A:$A,88),INDEX(CongDoan!$A:$A,88))=1,MAX($E$1:E85)+1,""))</f>
        <v/>
      </c>
      <c r="F86" t="str">
        <f>IFERROR(INDEX(CongDoan!$A:$A,MATCH(ROW()-1,$E$2:$E$197,0)+3),"")</f>
        <v/>
      </c>
    </row>
    <row r="87">
      <c r="A87" t="str">
        <f>IF(TRIM(INDEX(DonGia!$A:$A,89))="","",IF(COUNTIF(INDEX(DonGia!$A:$A,4):INDEX(DonGia!$A:$A,89),INDEX(DonGia!$A:$A,89))=1,MAX($A$1:A86)+1,""))</f>
        <v/>
      </c>
      <c r="B87" t="str">
        <f>IFERROR(INDEX(DonGia!$A:$A,MATCH(ROW()-1,$A$2:$A$201,0)+3),"")</f>
        <v/>
      </c>
      <c r="C87" t="str">
        <f>IF(TRIM(INDEX(VatLieu!$A:$A,89))="","",IF(COUNTIF(INDEX(VatLieu!$A:$A,4):INDEX(VatLieu!$A:$A,89),INDEX(VatLieu!$A:$A,89))=1,MAX($C$1:C86)+1,""))</f>
        <v/>
      </c>
      <c r="D87" t="str">
        <f>IFERROR(INDEX(VatLieu!$A:$A,MATCH(ROW()-1,$C$2:$C$201,0)+3),"")</f>
        <v/>
      </c>
      <c r="E87" t="str">
        <f>IF(TRIM(INDEX(CongDoan!$A:$A,89))="","",IF(COUNTIF(INDEX(CongDoan!$A:$A,4):INDEX(CongDoan!$A:$A,89),INDEX(CongDoan!$A:$A,89))=1,MAX($E$1:E86)+1,""))</f>
        <v/>
      </c>
      <c r="F87" t="str">
        <f>IFERROR(INDEX(CongDoan!$A:$A,MATCH(ROW()-1,$E$2:$E$197,0)+3),"")</f>
        <v/>
      </c>
    </row>
    <row r="88">
      <c r="A88" t="str">
        <f>IF(TRIM(INDEX(DonGia!$A:$A,90))="","",IF(COUNTIF(INDEX(DonGia!$A:$A,4):INDEX(DonGia!$A:$A,90),INDEX(DonGia!$A:$A,90))=1,MAX($A$1:A87)+1,""))</f>
        <v/>
      </c>
      <c r="B88" t="str">
        <f>IFERROR(INDEX(DonGia!$A:$A,MATCH(ROW()-1,$A$2:$A$201,0)+3),"")</f>
        <v/>
      </c>
      <c r="C88" t="str">
        <f>IF(TRIM(INDEX(VatLieu!$A:$A,90))="","",IF(COUNTIF(INDEX(VatLieu!$A:$A,4):INDEX(VatLieu!$A:$A,90),INDEX(VatLieu!$A:$A,90))=1,MAX($C$1:C87)+1,""))</f>
        <v/>
      </c>
      <c r="D88" t="str">
        <f>IFERROR(INDEX(VatLieu!$A:$A,MATCH(ROW()-1,$C$2:$C$201,0)+3),"")</f>
        <v/>
      </c>
      <c r="E88" t="str">
        <f>IF(TRIM(INDEX(CongDoan!$A:$A,90))="","",IF(COUNTIF(INDEX(CongDoan!$A:$A,4):INDEX(CongDoan!$A:$A,90),INDEX(CongDoan!$A:$A,90))=1,MAX($E$1:E87)+1,""))</f>
        <v/>
      </c>
      <c r="F88" t="str">
        <f>IFERROR(INDEX(CongDoan!$A:$A,MATCH(ROW()-1,$E$2:$E$197,0)+3),"")</f>
        <v/>
      </c>
    </row>
    <row r="89">
      <c r="A89" t="str">
        <f>IF(TRIM(INDEX(DonGia!$A:$A,91))="","",IF(COUNTIF(INDEX(DonGia!$A:$A,4):INDEX(DonGia!$A:$A,91),INDEX(DonGia!$A:$A,91))=1,MAX($A$1:A88)+1,""))</f>
        <v/>
      </c>
      <c r="B89" t="str">
        <f>IFERROR(INDEX(DonGia!$A:$A,MATCH(ROW()-1,$A$2:$A$201,0)+3),"")</f>
        <v/>
      </c>
      <c r="C89" t="str">
        <f>IF(TRIM(INDEX(VatLieu!$A:$A,91))="","",IF(COUNTIF(INDEX(VatLieu!$A:$A,4):INDEX(VatLieu!$A:$A,91),INDEX(VatLieu!$A:$A,91))=1,MAX($C$1:C88)+1,""))</f>
        <v/>
      </c>
      <c r="D89" t="str">
        <f>IFERROR(INDEX(VatLieu!$A:$A,MATCH(ROW()-1,$C$2:$C$201,0)+3),"")</f>
        <v/>
      </c>
      <c r="E89" t="str">
        <f>IF(TRIM(INDEX(CongDoan!$A:$A,91))="","",IF(COUNTIF(INDEX(CongDoan!$A:$A,4):INDEX(CongDoan!$A:$A,91),INDEX(CongDoan!$A:$A,91))=1,MAX($E$1:E88)+1,""))</f>
        <v/>
      </c>
      <c r="F89" t="str">
        <f>IFERROR(INDEX(CongDoan!$A:$A,MATCH(ROW()-1,$E$2:$E$197,0)+3),"")</f>
        <v/>
      </c>
    </row>
    <row r="90">
      <c r="A90" t="str">
        <f>IF(TRIM(INDEX(DonGia!$A:$A,92))="","",IF(COUNTIF(INDEX(DonGia!$A:$A,4):INDEX(DonGia!$A:$A,92),INDEX(DonGia!$A:$A,92))=1,MAX($A$1:A89)+1,""))</f>
        <v/>
      </c>
      <c r="B90" t="str">
        <f>IFERROR(INDEX(DonGia!$A:$A,MATCH(ROW()-1,$A$2:$A$201,0)+3),"")</f>
        <v/>
      </c>
      <c r="C90" t="str">
        <f>IF(TRIM(INDEX(VatLieu!$A:$A,92))="","",IF(COUNTIF(INDEX(VatLieu!$A:$A,4):INDEX(VatLieu!$A:$A,92),INDEX(VatLieu!$A:$A,92))=1,MAX($C$1:C89)+1,""))</f>
        <v/>
      </c>
      <c r="D90" t="str">
        <f>IFERROR(INDEX(VatLieu!$A:$A,MATCH(ROW()-1,$C$2:$C$201,0)+3),"")</f>
        <v/>
      </c>
      <c r="E90" t="str">
        <f>IF(TRIM(INDEX(CongDoan!$A:$A,92))="","",IF(COUNTIF(INDEX(CongDoan!$A:$A,4):INDEX(CongDoan!$A:$A,92),INDEX(CongDoan!$A:$A,92))=1,MAX($E$1:E89)+1,""))</f>
        <v/>
      </c>
      <c r="F90" t="str">
        <f>IFERROR(INDEX(CongDoan!$A:$A,MATCH(ROW()-1,$E$2:$E$197,0)+3),"")</f>
        <v/>
      </c>
    </row>
    <row r="91">
      <c r="A91" t="str">
        <f>IF(TRIM(INDEX(DonGia!$A:$A,93))="","",IF(COUNTIF(INDEX(DonGia!$A:$A,4):INDEX(DonGia!$A:$A,93),INDEX(DonGia!$A:$A,93))=1,MAX($A$1:A90)+1,""))</f>
        <v/>
      </c>
      <c r="B91" t="str">
        <f>IFERROR(INDEX(DonGia!$A:$A,MATCH(ROW()-1,$A$2:$A$201,0)+3),"")</f>
        <v/>
      </c>
      <c r="C91" t="str">
        <f>IF(TRIM(INDEX(VatLieu!$A:$A,93))="","",IF(COUNTIF(INDEX(VatLieu!$A:$A,4):INDEX(VatLieu!$A:$A,93),INDEX(VatLieu!$A:$A,93))=1,MAX($C$1:C90)+1,""))</f>
        <v/>
      </c>
      <c r="D91" t="str">
        <f>IFERROR(INDEX(VatLieu!$A:$A,MATCH(ROW()-1,$C$2:$C$201,0)+3),"")</f>
        <v/>
      </c>
      <c r="E91" t="str">
        <f>IF(TRIM(INDEX(CongDoan!$A:$A,93))="","",IF(COUNTIF(INDEX(CongDoan!$A:$A,4):INDEX(CongDoan!$A:$A,93),INDEX(CongDoan!$A:$A,93))=1,MAX($E$1:E90)+1,""))</f>
        <v/>
      </c>
      <c r="F91" t="str">
        <f>IFERROR(INDEX(CongDoan!$A:$A,MATCH(ROW()-1,$E$2:$E$197,0)+3),"")</f>
        <v/>
      </c>
    </row>
    <row r="92">
      <c r="A92" t="str">
        <f>IF(TRIM(INDEX(DonGia!$A:$A,94))="","",IF(COUNTIF(INDEX(DonGia!$A:$A,4):INDEX(DonGia!$A:$A,94),INDEX(DonGia!$A:$A,94))=1,MAX($A$1:A91)+1,""))</f>
        <v/>
      </c>
      <c r="B92" t="str">
        <f>IFERROR(INDEX(DonGia!$A:$A,MATCH(ROW()-1,$A$2:$A$201,0)+3),"")</f>
        <v/>
      </c>
      <c r="C92" t="str">
        <f>IF(TRIM(INDEX(VatLieu!$A:$A,94))="","",IF(COUNTIF(INDEX(VatLieu!$A:$A,4):INDEX(VatLieu!$A:$A,94),INDEX(VatLieu!$A:$A,94))=1,MAX($C$1:C91)+1,""))</f>
        <v/>
      </c>
      <c r="D92" t="str">
        <f>IFERROR(INDEX(VatLieu!$A:$A,MATCH(ROW()-1,$C$2:$C$201,0)+3),"")</f>
        <v/>
      </c>
      <c r="E92" t="str">
        <f>IF(TRIM(INDEX(CongDoan!$A:$A,94))="","",IF(COUNTIF(INDEX(CongDoan!$A:$A,4):INDEX(CongDoan!$A:$A,94),INDEX(CongDoan!$A:$A,94))=1,MAX($E$1:E91)+1,""))</f>
        <v/>
      </c>
      <c r="F92" t="str">
        <f>IFERROR(INDEX(CongDoan!$A:$A,MATCH(ROW()-1,$E$2:$E$197,0)+3),"")</f>
        <v/>
      </c>
    </row>
    <row r="93">
      <c r="A93" t="str">
        <f>IF(TRIM(INDEX(DonGia!$A:$A,95))="","",IF(COUNTIF(INDEX(DonGia!$A:$A,4):INDEX(DonGia!$A:$A,95),INDEX(DonGia!$A:$A,95))=1,MAX($A$1:A92)+1,""))</f>
        <v/>
      </c>
      <c r="B93" t="str">
        <f>IFERROR(INDEX(DonGia!$A:$A,MATCH(ROW()-1,$A$2:$A$201,0)+3),"")</f>
        <v/>
      </c>
      <c r="C93" t="str">
        <f>IF(TRIM(INDEX(VatLieu!$A:$A,95))="","",IF(COUNTIF(INDEX(VatLieu!$A:$A,4):INDEX(VatLieu!$A:$A,95),INDEX(VatLieu!$A:$A,95))=1,MAX($C$1:C92)+1,""))</f>
        <v/>
      </c>
      <c r="D93" t="str">
        <f>IFERROR(INDEX(VatLieu!$A:$A,MATCH(ROW()-1,$C$2:$C$201,0)+3),"")</f>
        <v/>
      </c>
      <c r="E93" t="str">
        <f>IF(TRIM(INDEX(CongDoan!$A:$A,95))="","",IF(COUNTIF(INDEX(CongDoan!$A:$A,4):INDEX(CongDoan!$A:$A,95),INDEX(CongDoan!$A:$A,95))=1,MAX($E$1:E92)+1,""))</f>
        <v/>
      </c>
      <c r="F93" t="str">
        <f>IFERROR(INDEX(CongDoan!$A:$A,MATCH(ROW()-1,$E$2:$E$197,0)+3),"")</f>
        <v/>
      </c>
    </row>
    <row r="94">
      <c r="A94" t="str">
        <f>IF(TRIM(INDEX(DonGia!$A:$A,96))="","",IF(COUNTIF(INDEX(DonGia!$A:$A,4):INDEX(DonGia!$A:$A,96),INDEX(DonGia!$A:$A,96))=1,MAX($A$1:A93)+1,""))</f>
        <v/>
      </c>
      <c r="B94" t="str">
        <f>IFERROR(INDEX(DonGia!$A:$A,MATCH(ROW()-1,$A$2:$A$201,0)+3),"")</f>
        <v/>
      </c>
      <c r="C94" t="str">
        <f>IF(TRIM(INDEX(VatLieu!$A:$A,96))="","",IF(COUNTIF(INDEX(VatLieu!$A:$A,4):INDEX(VatLieu!$A:$A,96),INDEX(VatLieu!$A:$A,96))=1,MAX($C$1:C93)+1,""))</f>
        <v/>
      </c>
      <c r="D94" t="str">
        <f>IFERROR(INDEX(VatLieu!$A:$A,MATCH(ROW()-1,$C$2:$C$201,0)+3),"")</f>
        <v/>
      </c>
      <c r="E94" t="str">
        <f>IF(TRIM(INDEX(CongDoan!$A:$A,96))="","",IF(COUNTIF(INDEX(CongDoan!$A:$A,4):INDEX(CongDoan!$A:$A,96),INDEX(CongDoan!$A:$A,96))=1,MAX($E$1:E93)+1,""))</f>
        <v/>
      </c>
      <c r="F94" t="str">
        <f>IFERROR(INDEX(CongDoan!$A:$A,MATCH(ROW()-1,$E$2:$E$197,0)+3),"")</f>
        <v/>
      </c>
    </row>
    <row r="95">
      <c r="A95" t="str">
        <f>IF(TRIM(INDEX(DonGia!$A:$A,97))="","",IF(COUNTIF(INDEX(DonGia!$A:$A,4):INDEX(DonGia!$A:$A,97),INDEX(DonGia!$A:$A,97))=1,MAX($A$1:A94)+1,""))</f>
        <v/>
      </c>
      <c r="B95" t="str">
        <f>IFERROR(INDEX(DonGia!$A:$A,MATCH(ROW()-1,$A$2:$A$201,0)+3),"")</f>
        <v/>
      </c>
      <c r="C95" t="str">
        <f>IF(TRIM(INDEX(VatLieu!$A:$A,97))="","",IF(COUNTIF(INDEX(VatLieu!$A:$A,4):INDEX(VatLieu!$A:$A,97),INDEX(VatLieu!$A:$A,97))=1,MAX($C$1:C94)+1,""))</f>
        <v/>
      </c>
      <c r="D95" t="str">
        <f>IFERROR(INDEX(VatLieu!$A:$A,MATCH(ROW()-1,$C$2:$C$201,0)+3),"")</f>
        <v/>
      </c>
      <c r="E95" t="str">
        <f>IF(TRIM(INDEX(CongDoan!$A:$A,97))="","",IF(COUNTIF(INDEX(CongDoan!$A:$A,4):INDEX(CongDoan!$A:$A,97),INDEX(CongDoan!$A:$A,97))=1,MAX($E$1:E94)+1,""))</f>
        <v/>
      </c>
      <c r="F95" t="str">
        <f>IFERROR(INDEX(CongDoan!$A:$A,MATCH(ROW()-1,$E$2:$E$197,0)+3),"")</f>
        <v/>
      </c>
    </row>
    <row r="96">
      <c r="A96" t="str">
        <f>IF(TRIM(INDEX(DonGia!$A:$A,98))="","",IF(COUNTIF(INDEX(DonGia!$A:$A,4):INDEX(DonGia!$A:$A,98),INDEX(DonGia!$A:$A,98))=1,MAX($A$1:A95)+1,""))</f>
        <v/>
      </c>
      <c r="B96" t="str">
        <f>IFERROR(INDEX(DonGia!$A:$A,MATCH(ROW()-1,$A$2:$A$201,0)+3),"")</f>
        <v/>
      </c>
      <c r="C96" t="str">
        <f>IF(TRIM(INDEX(VatLieu!$A:$A,98))="","",IF(COUNTIF(INDEX(VatLieu!$A:$A,4):INDEX(VatLieu!$A:$A,98),INDEX(VatLieu!$A:$A,98))=1,MAX($C$1:C95)+1,""))</f>
        <v/>
      </c>
      <c r="D96" t="str">
        <f>IFERROR(INDEX(VatLieu!$A:$A,MATCH(ROW()-1,$C$2:$C$201,0)+3),"")</f>
        <v/>
      </c>
      <c r="E96" t="str">
        <f>IF(TRIM(INDEX(CongDoan!$A:$A,98))="","",IF(COUNTIF(INDEX(CongDoan!$A:$A,4):INDEX(CongDoan!$A:$A,98),INDEX(CongDoan!$A:$A,98))=1,MAX($E$1:E95)+1,""))</f>
        <v/>
      </c>
      <c r="F96" t="str">
        <f>IFERROR(INDEX(CongDoan!$A:$A,MATCH(ROW()-1,$E$2:$E$197,0)+3),"")</f>
        <v/>
      </c>
    </row>
    <row r="97">
      <c r="A97" t="str">
        <f>IF(TRIM(INDEX(DonGia!$A:$A,99))="","",IF(COUNTIF(INDEX(DonGia!$A:$A,4):INDEX(DonGia!$A:$A,99),INDEX(DonGia!$A:$A,99))=1,MAX($A$1:A96)+1,""))</f>
        <v/>
      </c>
      <c r="B97" t="str">
        <f>IFERROR(INDEX(DonGia!$A:$A,MATCH(ROW()-1,$A$2:$A$201,0)+3),"")</f>
        <v/>
      </c>
      <c r="C97" t="str">
        <f>IF(TRIM(INDEX(VatLieu!$A:$A,99))="","",IF(COUNTIF(INDEX(VatLieu!$A:$A,4):INDEX(VatLieu!$A:$A,99),INDEX(VatLieu!$A:$A,99))=1,MAX($C$1:C96)+1,""))</f>
        <v/>
      </c>
      <c r="D97" t="str">
        <f>IFERROR(INDEX(VatLieu!$A:$A,MATCH(ROW()-1,$C$2:$C$201,0)+3),"")</f>
        <v/>
      </c>
      <c r="E97" t="str">
        <f>IF(TRIM(INDEX(CongDoan!$A:$A,99))="","",IF(COUNTIF(INDEX(CongDoan!$A:$A,4):INDEX(CongDoan!$A:$A,99),INDEX(CongDoan!$A:$A,99))=1,MAX($E$1:E96)+1,""))</f>
        <v/>
      </c>
      <c r="F97" t="str">
        <f>IFERROR(INDEX(CongDoan!$A:$A,MATCH(ROW()-1,$E$2:$E$197,0)+3),"")</f>
        <v/>
      </c>
    </row>
    <row r="98">
      <c r="A98" t="str">
        <f>IF(TRIM(INDEX(DonGia!$A:$A,100))="","",IF(COUNTIF(INDEX(DonGia!$A:$A,4):INDEX(DonGia!$A:$A,100),INDEX(DonGia!$A:$A,100))=1,MAX($A$1:A97)+1,""))</f>
        <v/>
      </c>
      <c r="B98" t="str">
        <f>IFERROR(INDEX(DonGia!$A:$A,MATCH(ROW()-1,$A$2:$A$201,0)+3),"")</f>
        <v/>
      </c>
      <c r="C98" t="str">
        <f>IF(TRIM(INDEX(VatLieu!$A:$A,100))="","",IF(COUNTIF(INDEX(VatLieu!$A:$A,4):INDEX(VatLieu!$A:$A,100),INDEX(VatLieu!$A:$A,100))=1,MAX($C$1:C97)+1,""))</f>
        <v/>
      </c>
      <c r="D98" t="str">
        <f>IFERROR(INDEX(VatLieu!$A:$A,MATCH(ROW()-1,$C$2:$C$201,0)+3),"")</f>
        <v/>
      </c>
      <c r="E98" t="str">
        <f>IF(TRIM(INDEX(CongDoan!$A:$A,100))="","",IF(COUNTIF(INDEX(CongDoan!$A:$A,4):INDEX(CongDoan!$A:$A,100),INDEX(CongDoan!$A:$A,100))=1,MAX($E$1:E97)+1,""))</f>
        <v/>
      </c>
      <c r="F98" t="str">
        <f>IFERROR(INDEX(CongDoan!$A:$A,MATCH(ROW()-1,$E$2:$E$197,0)+3),"")</f>
        <v/>
      </c>
    </row>
    <row r="99">
      <c r="A99" t="str">
        <f>IF(TRIM(INDEX(DonGia!$A:$A,101))="","",IF(COUNTIF(INDEX(DonGia!$A:$A,4):INDEX(DonGia!$A:$A,101),INDEX(DonGia!$A:$A,101))=1,MAX($A$1:A98)+1,""))</f>
        <v/>
      </c>
      <c r="B99" t="str">
        <f>IFERROR(INDEX(DonGia!$A:$A,MATCH(ROW()-1,$A$2:$A$201,0)+3),"")</f>
        <v/>
      </c>
      <c r="C99" t="str">
        <f>IF(TRIM(INDEX(VatLieu!$A:$A,101))="","",IF(COUNTIF(INDEX(VatLieu!$A:$A,4):INDEX(VatLieu!$A:$A,101),INDEX(VatLieu!$A:$A,101))=1,MAX($C$1:C98)+1,""))</f>
        <v/>
      </c>
      <c r="D99" t="str">
        <f>IFERROR(INDEX(VatLieu!$A:$A,MATCH(ROW()-1,$C$2:$C$201,0)+3),"")</f>
        <v/>
      </c>
      <c r="E99" t="str">
        <f>IF(TRIM(INDEX(CongDoan!$A:$A,101))="","",IF(COUNTIF(INDEX(CongDoan!$A:$A,4):INDEX(CongDoan!$A:$A,101),INDEX(CongDoan!$A:$A,101))=1,MAX($E$1:E98)+1,""))</f>
        <v/>
      </c>
      <c r="F99" t="str">
        <f>IFERROR(INDEX(CongDoan!$A:$A,MATCH(ROW()-1,$E$2:$E$197,0)+3),"")</f>
        <v/>
      </c>
    </row>
    <row r="100">
      <c r="A100" t="str">
        <f>IF(TRIM(INDEX(DonGia!$A:$A,102))="","",IF(COUNTIF(INDEX(DonGia!$A:$A,4):INDEX(DonGia!$A:$A,102),INDEX(DonGia!$A:$A,102))=1,MAX($A$1:A99)+1,""))</f>
        <v/>
      </c>
      <c r="B100" t="str">
        <f>IFERROR(INDEX(DonGia!$A:$A,MATCH(ROW()-1,$A$2:$A$201,0)+3),"")</f>
        <v/>
      </c>
      <c r="C100" t="str">
        <f>IF(TRIM(INDEX(VatLieu!$A:$A,102))="","",IF(COUNTIF(INDEX(VatLieu!$A:$A,4):INDEX(VatLieu!$A:$A,102),INDEX(VatLieu!$A:$A,102))=1,MAX($C$1:C99)+1,""))</f>
        <v/>
      </c>
      <c r="D100" t="str">
        <f>IFERROR(INDEX(VatLieu!$A:$A,MATCH(ROW()-1,$C$2:$C$201,0)+3),"")</f>
        <v/>
      </c>
      <c r="E100" t="str">
        <f>IF(TRIM(INDEX(CongDoan!$A:$A,102))="","",IF(COUNTIF(INDEX(CongDoan!$A:$A,4):INDEX(CongDoan!$A:$A,102),INDEX(CongDoan!$A:$A,102))=1,MAX($E$1:E99)+1,""))</f>
        <v/>
      </c>
      <c r="F100" t="str">
        <f>IFERROR(INDEX(CongDoan!$A:$A,MATCH(ROW()-1,$E$2:$E$197,0)+3),"")</f>
        <v/>
      </c>
    </row>
    <row r="101">
      <c r="A101" t="str">
        <f>IF(TRIM(INDEX(DonGia!$A:$A,103))="","",IF(COUNTIF(INDEX(DonGia!$A:$A,4):INDEX(DonGia!$A:$A,103),INDEX(DonGia!$A:$A,103))=1,MAX($A$1:A100)+1,""))</f>
        <v/>
      </c>
      <c r="B101" t="str">
        <f>IFERROR(INDEX(DonGia!$A:$A,MATCH(ROW()-1,$A$2:$A$201,0)+3),"")</f>
        <v/>
      </c>
      <c r="C101" t="str">
        <f>IF(TRIM(INDEX(VatLieu!$A:$A,103))="","",IF(COUNTIF(INDEX(VatLieu!$A:$A,4):INDEX(VatLieu!$A:$A,103),INDEX(VatLieu!$A:$A,103))=1,MAX($C$1:C100)+1,""))</f>
        <v/>
      </c>
      <c r="D101" t="str">
        <f>IFERROR(INDEX(VatLieu!$A:$A,MATCH(ROW()-1,$C$2:$C$201,0)+3),"")</f>
        <v/>
      </c>
      <c r="E101" t="str">
        <f>IF(TRIM(INDEX(CongDoan!$A:$A,103))="","",IF(COUNTIF(INDEX(CongDoan!$A:$A,4):INDEX(CongDoan!$A:$A,103),INDEX(CongDoan!$A:$A,103))=1,MAX($E$1:E100)+1,""))</f>
        <v/>
      </c>
      <c r="F101" t="str">
        <f>IFERROR(INDEX(CongDoan!$A:$A,MATCH(ROW()-1,$E$2:$E$197,0)+3),"")</f>
        <v/>
      </c>
    </row>
    <row r="102">
      <c r="A102" t="str">
        <f>IF(TRIM(INDEX(DonGia!$A:$A,104))="","",IF(COUNTIF(INDEX(DonGia!$A:$A,4):INDEX(DonGia!$A:$A,104),INDEX(DonGia!$A:$A,104))=1,MAX($A$1:A101)+1,""))</f>
        <v/>
      </c>
      <c r="B102" t="str">
        <f>IFERROR(INDEX(DonGia!$A:$A,MATCH(ROW()-1,$A$2:$A$201,0)+3),"")</f>
        <v/>
      </c>
      <c r="C102" t="str">
        <f>IF(TRIM(INDEX(VatLieu!$A:$A,104))="","",IF(COUNTIF(INDEX(VatLieu!$A:$A,4):INDEX(VatLieu!$A:$A,104),INDEX(VatLieu!$A:$A,104))=1,MAX($C$1:C101)+1,""))</f>
        <v/>
      </c>
      <c r="D102" t="str">
        <f>IFERROR(INDEX(VatLieu!$A:$A,MATCH(ROW()-1,$C$2:$C$201,0)+3),"")</f>
        <v/>
      </c>
      <c r="E102" t="str">
        <f>IF(TRIM(INDEX(CongDoan!$A:$A,104))="","",IF(COUNTIF(INDEX(CongDoan!$A:$A,4):INDEX(CongDoan!$A:$A,104),INDEX(CongDoan!$A:$A,104))=1,MAX($E$1:E101)+1,""))</f>
        <v/>
      </c>
      <c r="F102" t="str">
        <f>IFERROR(INDEX(CongDoan!$A:$A,MATCH(ROW()-1,$E$2:$E$197,0)+3),"")</f>
        <v/>
      </c>
    </row>
    <row r="103">
      <c r="A103" t="str">
        <f>IF(TRIM(INDEX(DonGia!$A:$A,105))="","",IF(COUNTIF(INDEX(DonGia!$A:$A,4):INDEX(DonGia!$A:$A,105),INDEX(DonGia!$A:$A,105))=1,MAX($A$1:A102)+1,""))</f>
        <v/>
      </c>
      <c r="B103" t="str">
        <f>IFERROR(INDEX(DonGia!$A:$A,MATCH(ROW()-1,$A$2:$A$201,0)+3),"")</f>
        <v/>
      </c>
      <c r="C103" t="str">
        <f>IF(TRIM(INDEX(VatLieu!$A:$A,105))="","",IF(COUNTIF(INDEX(VatLieu!$A:$A,4):INDEX(VatLieu!$A:$A,105),INDEX(VatLieu!$A:$A,105))=1,MAX($C$1:C102)+1,""))</f>
        <v/>
      </c>
      <c r="D103" t="str">
        <f>IFERROR(INDEX(VatLieu!$A:$A,MATCH(ROW()-1,$C$2:$C$201,0)+3),"")</f>
        <v/>
      </c>
      <c r="E103" t="str">
        <f>IF(TRIM(INDEX(CongDoan!$A:$A,105))="","",IF(COUNTIF(INDEX(CongDoan!$A:$A,4):INDEX(CongDoan!$A:$A,105),INDEX(CongDoan!$A:$A,105))=1,MAX($E$1:E102)+1,""))</f>
        <v/>
      </c>
      <c r="F103" t="str">
        <f>IFERROR(INDEX(CongDoan!$A:$A,MATCH(ROW()-1,$E$2:$E$197,0)+3),"")</f>
        <v/>
      </c>
    </row>
    <row r="104">
      <c r="A104" t="str">
        <f>IF(TRIM(INDEX(DonGia!$A:$A,106))="","",IF(COUNTIF(INDEX(DonGia!$A:$A,4):INDEX(DonGia!$A:$A,106),INDEX(DonGia!$A:$A,106))=1,MAX($A$1:A103)+1,""))</f>
        <v/>
      </c>
      <c r="B104" t="str">
        <f>IFERROR(INDEX(DonGia!$A:$A,MATCH(ROW()-1,$A$2:$A$201,0)+3),"")</f>
        <v/>
      </c>
      <c r="C104" t="str">
        <f>IF(TRIM(INDEX(VatLieu!$A:$A,106))="","",IF(COUNTIF(INDEX(VatLieu!$A:$A,4):INDEX(VatLieu!$A:$A,106),INDEX(VatLieu!$A:$A,106))=1,MAX($C$1:C103)+1,""))</f>
        <v/>
      </c>
      <c r="D104" t="str">
        <f>IFERROR(INDEX(VatLieu!$A:$A,MATCH(ROW()-1,$C$2:$C$201,0)+3),"")</f>
        <v/>
      </c>
      <c r="E104" t="str">
        <f>IF(TRIM(INDEX(CongDoan!$A:$A,106))="","",IF(COUNTIF(INDEX(CongDoan!$A:$A,4):INDEX(CongDoan!$A:$A,106),INDEX(CongDoan!$A:$A,106))=1,MAX($E$1:E103)+1,""))</f>
        <v/>
      </c>
      <c r="F104" t="str">
        <f>IFERROR(INDEX(CongDoan!$A:$A,MATCH(ROW()-1,$E$2:$E$197,0)+3),"")</f>
        <v/>
      </c>
    </row>
    <row r="105">
      <c r="A105" t="str">
        <f>IF(TRIM(INDEX(DonGia!$A:$A,107))="","",IF(COUNTIF(INDEX(DonGia!$A:$A,4):INDEX(DonGia!$A:$A,107),INDEX(DonGia!$A:$A,107))=1,MAX($A$1:A104)+1,""))</f>
        <v/>
      </c>
      <c r="B105" t="str">
        <f>IFERROR(INDEX(DonGia!$A:$A,MATCH(ROW()-1,$A$2:$A$201,0)+3),"")</f>
        <v/>
      </c>
      <c r="C105" t="str">
        <f>IF(TRIM(INDEX(VatLieu!$A:$A,107))="","",IF(COUNTIF(INDEX(VatLieu!$A:$A,4):INDEX(VatLieu!$A:$A,107),INDEX(VatLieu!$A:$A,107))=1,MAX($C$1:C104)+1,""))</f>
        <v/>
      </c>
      <c r="D105" t="str">
        <f>IFERROR(INDEX(VatLieu!$A:$A,MATCH(ROW()-1,$C$2:$C$201,0)+3),"")</f>
        <v/>
      </c>
      <c r="E105" t="str">
        <f>IF(TRIM(INDEX(CongDoan!$A:$A,107))="","",IF(COUNTIF(INDEX(CongDoan!$A:$A,4):INDEX(CongDoan!$A:$A,107),INDEX(CongDoan!$A:$A,107))=1,MAX($E$1:E104)+1,""))</f>
        <v/>
      </c>
      <c r="F105" t="str">
        <f>IFERROR(INDEX(CongDoan!$A:$A,MATCH(ROW()-1,$E$2:$E$197,0)+3),"")</f>
        <v/>
      </c>
    </row>
    <row r="106">
      <c r="A106" t="str">
        <f>IF(TRIM(INDEX(DonGia!$A:$A,108))="","",IF(COUNTIF(INDEX(DonGia!$A:$A,4):INDEX(DonGia!$A:$A,108),INDEX(DonGia!$A:$A,108))=1,MAX($A$1:A105)+1,""))</f>
        <v/>
      </c>
      <c r="B106" t="str">
        <f>IFERROR(INDEX(DonGia!$A:$A,MATCH(ROW()-1,$A$2:$A$201,0)+3),"")</f>
        <v/>
      </c>
      <c r="C106" t="str">
        <f>IF(TRIM(INDEX(VatLieu!$A:$A,108))="","",IF(COUNTIF(INDEX(VatLieu!$A:$A,4):INDEX(VatLieu!$A:$A,108),INDEX(VatLieu!$A:$A,108))=1,MAX($C$1:C105)+1,""))</f>
        <v/>
      </c>
      <c r="D106" t="str">
        <f>IFERROR(INDEX(VatLieu!$A:$A,MATCH(ROW()-1,$C$2:$C$201,0)+3),"")</f>
        <v/>
      </c>
      <c r="E106" t="str">
        <f>IF(TRIM(INDEX(CongDoan!$A:$A,108))="","",IF(COUNTIF(INDEX(CongDoan!$A:$A,4):INDEX(CongDoan!$A:$A,108),INDEX(CongDoan!$A:$A,108))=1,MAX($E$1:E105)+1,""))</f>
        <v/>
      </c>
      <c r="F106" t="str">
        <f>IFERROR(INDEX(CongDoan!$A:$A,MATCH(ROW()-1,$E$2:$E$197,0)+3),"")</f>
        <v/>
      </c>
    </row>
    <row r="107">
      <c r="A107" t="str">
        <f>IF(TRIM(INDEX(DonGia!$A:$A,109))="","",IF(COUNTIF(INDEX(DonGia!$A:$A,4):INDEX(DonGia!$A:$A,109),INDEX(DonGia!$A:$A,109))=1,MAX($A$1:A106)+1,""))</f>
        <v/>
      </c>
      <c r="B107" t="str">
        <f>IFERROR(INDEX(DonGia!$A:$A,MATCH(ROW()-1,$A$2:$A$201,0)+3),"")</f>
        <v/>
      </c>
      <c r="C107" t="str">
        <f>IF(TRIM(INDEX(VatLieu!$A:$A,109))="","",IF(COUNTIF(INDEX(VatLieu!$A:$A,4):INDEX(VatLieu!$A:$A,109),INDEX(VatLieu!$A:$A,109))=1,MAX($C$1:C106)+1,""))</f>
        <v/>
      </c>
      <c r="D107" t="str">
        <f>IFERROR(INDEX(VatLieu!$A:$A,MATCH(ROW()-1,$C$2:$C$201,0)+3),"")</f>
        <v/>
      </c>
      <c r="E107" t="str">
        <f>IF(TRIM(INDEX(CongDoan!$A:$A,109))="","",IF(COUNTIF(INDEX(CongDoan!$A:$A,4):INDEX(CongDoan!$A:$A,109),INDEX(CongDoan!$A:$A,109))=1,MAX($E$1:E106)+1,""))</f>
        <v/>
      </c>
      <c r="F107" t="str">
        <f>IFERROR(INDEX(CongDoan!$A:$A,MATCH(ROW()-1,$E$2:$E$197,0)+3),"")</f>
        <v/>
      </c>
    </row>
    <row r="108">
      <c r="A108" t="str">
        <f>IF(TRIM(INDEX(DonGia!$A:$A,110))="","",IF(COUNTIF(INDEX(DonGia!$A:$A,4):INDEX(DonGia!$A:$A,110),INDEX(DonGia!$A:$A,110))=1,MAX($A$1:A107)+1,""))</f>
        <v/>
      </c>
      <c r="B108" t="str">
        <f>IFERROR(INDEX(DonGia!$A:$A,MATCH(ROW()-1,$A$2:$A$201,0)+3),"")</f>
        <v/>
      </c>
      <c r="C108" t="str">
        <f>IF(TRIM(INDEX(VatLieu!$A:$A,110))="","",IF(COUNTIF(INDEX(VatLieu!$A:$A,4):INDEX(VatLieu!$A:$A,110),INDEX(VatLieu!$A:$A,110))=1,MAX($C$1:C107)+1,""))</f>
        <v/>
      </c>
      <c r="D108" t="str">
        <f>IFERROR(INDEX(VatLieu!$A:$A,MATCH(ROW()-1,$C$2:$C$201,0)+3),"")</f>
        <v/>
      </c>
      <c r="E108" t="str">
        <f>IF(TRIM(INDEX(CongDoan!$A:$A,110))="","",IF(COUNTIF(INDEX(CongDoan!$A:$A,4):INDEX(CongDoan!$A:$A,110),INDEX(CongDoan!$A:$A,110))=1,MAX($E$1:E107)+1,""))</f>
        <v/>
      </c>
      <c r="F108" t="str">
        <f>IFERROR(INDEX(CongDoan!$A:$A,MATCH(ROW()-1,$E$2:$E$197,0)+3),"")</f>
        <v/>
      </c>
    </row>
    <row r="109">
      <c r="A109" t="str">
        <f>IF(TRIM(INDEX(DonGia!$A:$A,111))="","",IF(COUNTIF(INDEX(DonGia!$A:$A,4):INDEX(DonGia!$A:$A,111),INDEX(DonGia!$A:$A,111))=1,MAX($A$1:A108)+1,""))</f>
        <v/>
      </c>
      <c r="B109" t="str">
        <f>IFERROR(INDEX(DonGia!$A:$A,MATCH(ROW()-1,$A$2:$A$201,0)+3),"")</f>
        <v/>
      </c>
      <c r="C109" t="str">
        <f>IF(TRIM(INDEX(VatLieu!$A:$A,111))="","",IF(COUNTIF(INDEX(VatLieu!$A:$A,4):INDEX(VatLieu!$A:$A,111),INDEX(VatLieu!$A:$A,111))=1,MAX($C$1:C108)+1,""))</f>
        <v/>
      </c>
      <c r="D109" t="str">
        <f>IFERROR(INDEX(VatLieu!$A:$A,MATCH(ROW()-1,$C$2:$C$201,0)+3),"")</f>
        <v/>
      </c>
      <c r="E109" t="str">
        <f>IF(TRIM(INDEX(CongDoan!$A:$A,111))="","",IF(COUNTIF(INDEX(CongDoan!$A:$A,4):INDEX(CongDoan!$A:$A,111),INDEX(CongDoan!$A:$A,111))=1,MAX($E$1:E108)+1,""))</f>
        <v/>
      </c>
      <c r="F109" t="str">
        <f>IFERROR(INDEX(CongDoan!$A:$A,MATCH(ROW()-1,$E$2:$E$197,0)+3),"")</f>
        <v/>
      </c>
    </row>
    <row r="110">
      <c r="A110" t="str">
        <f>IF(TRIM(INDEX(DonGia!$A:$A,112))="","",IF(COUNTIF(INDEX(DonGia!$A:$A,4):INDEX(DonGia!$A:$A,112),INDEX(DonGia!$A:$A,112))=1,MAX($A$1:A109)+1,""))</f>
        <v/>
      </c>
      <c r="B110" t="str">
        <f>IFERROR(INDEX(DonGia!$A:$A,MATCH(ROW()-1,$A$2:$A$201,0)+3),"")</f>
        <v/>
      </c>
      <c r="C110" t="str">
        <f>IF(TRIM(INDEX(VatLieu!$A:$A,112))="","",IF(COUNTIF(INDEX(VatLieu!$A:$A,4):INDEX(VatLieu!$A:$A,112),INDEX(VatLieu!$A:$A,112))=1,MAX($C$1:C109)+1,""))</f>
        <v/>
      </c>
      <c r="D110" t="str">
        <f>IFERROR(INDEX(VatLieu!$A:$A,MATCH(ROW()-1,$C$2:$C$201,0)+3),"")</f>
        <v/>
      </c>
      <c r="E110" t="str">
        <f>IF(TRIM(INDEX(CongDoan!$A:$A,112))="","",IF(COUNTIF(INDEX(CongDoan!$A:$A,4):INDEX(CongDoan!$A:$A,112),INDEX(CongDoan!$A:$A,112))=1,MAX($E$1:E109)+1,""))</f>
        <v/>
      </c>
      <c r="F110" t="str">
        <f>IFERROR(INDEX(CongDoan!$A:$A,MATCH(ROW()-1,$E$2:$E$197,0)+3),"")</f>
        <v/>
      </c>
    </row>
    <row r="111">
      <c r="A111" t="str">
        <f>IF(TRIM(INDEX(DonGia!$A:$A,113))="","",IF(COUNTIF(INDEX(DonGia!$A:$A,4):INDEX(DonGia!$A:$A,113),INDEX(DonGia!$A:$A,113))=1,MAX($A$1:A110)+1,""))</f>
        <v/>
      </c>
      <c r="B111" t="str">
        <f>IFERROR(INDEX(DonGia!$A:$A,MATCH(ROW()-1,$A$2:$A$201,0)+3),"")</f>
        <v/>
      </c>
      <c r="C111" t="str">
        <f>IF(TRIM(INDEX(VatLieu!$A:$A,113))="","",IF(COUNTIF(INDEX(VatLieu!$A:$A,4):INDEX(VatLieu!$A:$A,113),INDEX(VatLieu!$A:$A,113))=1,MAX($C$1:C110)+1,""))</f>
        <v/>
      </c>
      <c r="D111" t="str">
        <f>IFERROR(INDEX(VatLieu!$A:$A,MATCH(ROW()-1,$C$2:$C$201,0)+3),"")</f>
        <v/>
      </c>
      <c r="E111" t="str">
        <f>IF(TRIM(INDEX(CongDoan!$A:$A,113))="","",IF(COUNTIF(INDEX(CongDoan!$A:$A,4):INDEX(CongDoan!$A:$A,113),INDEX(CongDoan!$A:$A,113))=1,MAX($E$1:E110)+1,""))</f>
        <v/>
      </c>
      <c r="F111" t="str">
        <f>IFERROR(INDEX(CongDoan!$A:$A,MATCH(ROW()-1,$E$2:$E$197,0)+3),"")</f>
        <v/>
      </c>
    </row>
    <row r="112">
      <c r="A112" t="str">
        <f>IF(TRIM(INDEX(DonGia!$A:$A,114))="","",IF(COUNTIF(INDEX(DonGia!$A:$A,4):INDEX(DonGia!$A:$A,114),INDEX(DonGia!$A:$A,114))=1,MAX($A$1:A111)+1,""))</f>
        <v/>
      </c>
      <c r="B112" t="str">
        <f>IFERROR(INDEX(DonGia!$A:$A,MATCH(ROW()-1,$A$2:$A$201,0)+3),"")</f>
        <v/>
      </c>
      <c r="C112" t="str">
        <f>IF(TRIM(INDEX(VatLieu!$A:$A,114))="","",IF(COUNTIF(INDEX(VatLieu!$A:$A,4):INDEX(VatLieu!$A:$A,114),INDEX(VatLieu!$A:$A,114))=1,MAX($C$1:C111)+1,""))</f>
        <v/>
      </c>
      <c r="D112" t="str">
        <f>IFERROR(INDEX(VatLieu!$A:$A,MATCH(ROW()-1,$C$2:$C$201,0)+3),"")</f>
        <v/>
      </c>
      <c r="E112" t="str">
        <f>IF(TRIM(INDEX(CongDoan!$A:$A,114))="","",IF(COUNTIF(INDEX(CongDoan!$A:$A,4):INDEX(CongDoan!$A:$A,114),INDEX(CongDoan!$A:$A,114))=1,MAX($E$1:E111)+1,""))</f>
        <v/>
      </c>
      <c r="F112" t="str">
        <f>IFERROR(INDEX(CongDoan!$A:$A,MATCH(ROW()-1,$E$2:$E$197,0)+3),"")</f>
        <v/>
      </c>
    </row>
    <row r="113">
      <c r="A113" t="str">
        <f>IF(TRIM(INDEX(DonGia!$A:$A,115))="","",IF(COUNTIF(INDEX(DonGia!$A:$A,4):INDEX(DonGia!$A:$A,115),INDEX(DonGia!$A:$A,115))=1,MAX($A$1:A112)+1,""))</f>
        <v/>
      </c>
      <c r="B113" t="str">
        <f>IFERROR(INDEX(DonGia!$A:$A,MATCH(ROW()-1,$A$2:$A$201,0)+3),"")</f>
        <v/>
      </c>
      <c r="C113" t="str">
        <f>IF(TRIM(INDEX(VatLieu!$A:$A,115))="","",IF(COUNTIF(INDEX(VatLieu!$A:$A,4):INDEX(VatLieu!$A:$A,115),INDEX(VatLieu!$A:$A,115))=1,MAX($C$1:C112)+1,""))</f>
        <v/>
      </c>
      <c r="D113" t="str">
        <f>IFERROR(INDEX(VatLieu!$A:$A,MATCH(ROW()-1,$C$2:$C$201,0)+3),"")</f>
        <v/>
      </c>
      <c r="E113" t="str">
        <f>IF(TRIM(INDEX(CongDoan!$A:$A,115))="","",IF(COUNTIF(INDEX(CongDoan!$A:$A,4):INDEX(CongDoan!$A:$A,115),INDEX(CongDoan!$A:$A,115))=1,MAX($E$1:E112)+1,""))</f>
        <v/>
      </c>
      <c r="F113" t="str">
        <f>IFERROR(INDEX(CongDoan!$A:$A,MATCH(ROW()-1,$E$2:$E$197,0)+3),"")</f>
        <v/>
      </c>
    </row>
    <row r="114">
      <c r="A114" t="str">
        <f>IF(TRIM(INDEX(DonGia!$A:$A,116))="","",IF(COUNTIF(INDEX(DonGia!$A:$A,4):INDEX(DonGia!$A:$A,116),INDEX(DonGia!$A:$A,116))=1,MAX($A$1:A113)+1,""))</f>
        <v/>
      </c>
      <c r="B114" t="str">
        <f>IFERROR(INDEX(DonGia!$A:$A,MATCH(ROW()-1,$A$2:$A$201,0)+3),"")</f>
        <v/>
      </c>
      <c r="C114" t="str">
        <f>IF(TRIM(INDEX(VatLieu!$A:$A,116))="","",IF(COUNTIF(INDEX(VatLieu!$A:$A,4):INDEX(VatLieu!$A:$A,116),INDEX(VatLieu!$A:$A,116))=1,MAX($C$1:C113)+1,""))</f>
        <v/>
      </c>
      <c r="D114" t="str">
        <f>IFERROR(INDEX(VatLieu!$A:$A,MATCH(ROW()-1,$C$2:$C$201,0)+3),"")</f>
        <v/>
      </c>
      <c r="E114" t="str">
        <f>IF(TRIM(INDEX(CongDoan!$A:$A,116))="","",IF(COUNTIF(INDEX(CongDoan!$A:$A,4):INDEX(CongDoan!$A:$A,116),INDEX(CongDoan!$A:$A,116))=1,MAX($E$1:E113)+1,""))</f>
        <v/>
      </c>
      <c r="F114" t="str">
        <f>IFERROR(INDEX(CongDoan!$A:$A,MATCH(ROW()-1,$E$2:$E$197,0)+3),"")</f>
        <v/>
      </c>
    </row>
    <row r="115">
      <c r="A115" t="str">
        <f>IF(TRIM(INDEX(DonGia!$A:$A,117))="","",IF(COUNTIF(INDEX(DonGia!$A:$A,4):INDEX(DonGia!$A:$A,117),INDEX(DonGia!$A:$A,117))=1,MAX($A$1:A114)+1,""))</f>
        <v/>
      </c>
      <c r="B115" t="str">
        <f>IFERROR(INDEX(DonGia!$A:$A,MATCH(ROW()-1,$A$2:$A$201,0)+3),"")</f>
        <v/>
      </c>
      <c r="C115" t="str">
        <f>IF(TRIM(INDEX(VatLieu!$A:$A,117))="","",IF(COUNTIF(INDEX(VatLieu!$A:$A,4):INDEX(VatLieu!$A:$A,117),INDEX(VatLieu!$A:$A,117))=1,MAX($C$1:C114)+1,""))</f>
        <v/>
      </c>
      <c r="D115" t="str">
        <f>IFERROR(INDEX(VatLieu!$A:$A,MATCH(ROW()-1,$C$2:$C$201,0)+3),"")</f>
        <v/>
      </c>
      <c r="E115" t="str">
        <f>IF(TRIM(INDEX(CongDoan!$A:$A,117))="","",IF(COUNTIF(INDEX(CongDoan!$A:$A,4):INDEX(CongDoan!$A:$A,117),INDEX(CongDoan!$A:$A,117))=1,MAX($E$1:E114)+1,""))</f>
        <v/>
      </c>
      <c r="F115" t="str">
        <f>IFERROR(INDEX(CongDoan!$A:$A,MATCH(ROW()-1,$E$2:$E$197,0)+3),"")</f>
        <v/>
      </c>
    </row>
    <row r="116">
      <c r="A116" t="str">
        <f>IF(TRIM(INDEX(DonGia!$A:$A,118))="","",IF(COUNTIF(INDEX(DonGia!$A:$A,4):INDEX(DonGia!$A:$A,118),INDEX(DonGia!$A:$A,118))=1,MAX($A$1:A115)+1,""))</f>
        <v/>
      </c>
      <c r="B116" t="str">
        <f>IFERROR(INDEX(DonGia!$A:$A,MATCH(ROW()-1,$A$2:$A$201,0)+3),"")</f>
        <v/>
      </c>
      <c r="C116" t="str">
        <f>IF(TRIM(INDEX(VatLieu!$A:$A,118))="","",IF(COUNTIF(INDEX(VatLieu!$A:$A,4):INDEX(VatLieu!$A:$A,118),INDEX(VatLieu!$A:$A,118))=1,MAX($C$1:C115)+1,""))</f>
        <v/>
      </c>
      <c r="D116" t="str">
        <f>IFERROR(INDEX(VatLieu!$A:$A,MATCH(ROW()-1,$C$2:$C$201,0)+3),"")</f>
        <v/>
      </c>
      <c r="E116" t="str">
        <f>IF(TRIM(INDEX(CongDoan!$A:$A,118))="","",IF(COUNTIF(INDEX(CongDoan!$A:$A,4):INDEX(CongDoan!$A:$A,118),INDEX(CongDoan!$A:$A,118))=1,MAX($E$1:E115)+1,""))</f>
        <v/>
      </c>
      <c r="F116" t="str">
        <f>IFERROR(INDEX(CongDoan!$A:$A,MATCH(ROW()-1,$E$2:$E$197,0)+3),"")</f>
        <v/>
      </c>
    </row>
    <row r="117">
      <c r="A117" t="str">
        <f>IF(TRIM(INDEX(DonGia!$A:$A,119))="","",IF(COUNTIF(INDEX(DonGia!$A:$A,4):INDEX(DonGia!$A:$A,119),INDEX(DonGia!$A:$A,119))=1,MAX($A$1:A116)+1,""))</f>
        <v/>
      </c>
      <c r="B117" t="str">
        <f>IFERROR(INDEX(DonGia!$A:$A,MATCH(ROW()-1,$A$2:$A$201,0)+3),"")</f>
        <v/>
      </c>
      <c r="C117" t="str">
        <f>IF(TRIM(INDEX(VatLieu!$A:$A,119))="","",IF(COUNTIF(INDEX(VatLieu!$A:$A,4):INDEX(VatLieu!$A:$A,119),INDEX(VatLieu!$A:$A,119))=1,MAX($C$1:C116)+1,""))</f>
        <v/>
      </c>
      <c r="D117" t="str">
        <f>IFERROR(INDEX(VatLieu!$A:$A,MATCH(ROW()-1,$C$2:$C$201,0)+3),"")</f>
        <v/>
      </c>
      <c r="E117" t="str">
        <f>IF(TRIM(INDEX(CongDoan!$A:$A,119))="","",IF(COUNTIF(INDEX(CongDoan!$A:$A,4):INDEX(CongDoan!$A:$A,119),INDEX(CongDoan!$A:$A,119))=1,MAX($E$1:E116)+1,""))</f>
        <v/>
      </c>
      <c r="F117" t="str">
        <f>IFERROR(INDEX(CongDoan!$A:$A,MATCH(ROW()-1,$E$2:$E$197,0)+3),"")</f>
        <v/>
      </c>
    </row>
    <row r="118">
      <c r="A118" t="str">
        <f>IF(TRIM(INDEX(DonGia!$A:$A,120))="","",IF(COUNTIF(INDEX(DonGia!$A:$A,4):INDEX(DonGia!$A:$A,120),INDEX(DonGia!$A:$A,120))=1,MAX($A$1:A117)+1,""))</f>
        <v/>
      </c>
      <c r="B118" t="str">
        <f>IFERROR(INDEX(DonGia!$A:$A,MATCH(ROW()-1,$A$2:$A$201,0)+3),"")</f>
        <v/>
      </c>
      <c r="C118" t="str">
        <f>IF(TRIM(INDEX(VatLieu!$A:$A,120))="","",IF(COUNTIF(INDEX(VatLieu!$A:$A,4):INDEX(VatLieu!$A:$A,120),INDEX(VatLieu!$A:$A,120))=1,MAX($C$1:C117)+1,""))</f>
        <v/>
      </c>
      <c r="D118" t="str">
        <f>IFERROR(INDEX(VatLieu!$A:$A,MATCH(ROW()-1,$C$2:$C$201,0)+3),"")</f>
        <v/>
      </c>
      <c r="E118" t="str">
        <f>IF(TRIM(INDEX(CongDoan!$A:$A,120))="","",IF(COUNTIF(INDEX(CongDoan!$A:$A,4):INDEX(CongDoan!$A:$A,120),INDEX(CongDoan!$A:$A,120))=1,MAX($E$1:E117)+1,""))</f>
        <v/>
      </c>
      <c r="F118" t="str">
        <f>IFERROR(INDEX(CongDoan!$A:$A,MATCH(ROW()-1,$E$2:$E$197,0)+3),"")</f>
        <v/>
      </c>
    </row>
    <row r="119">
      <c r="A119" t="str">
        <f>IF(TRIM(INDEX(DonGia!$A:$A,121))="","",IF(COUNTIF(INDEX(DonGia!$A:$A,4):INDEX(DonGia!$A:$A,121),INDEX(DonGia!$A:$A,121))=1,MAX($A$1:A118)+1,""))</f>
        <v/>
      </c>
      <c r="B119" t="str">
        <f>IFERROR(INDEX(DonGia!$A:$A,MATCH(ROW()-1,$A$2:$A$201,0)+3),"")</f>
        <v/>
      </c>
      <c r="C119" t="str">
        <f>IF(TRIM(INDEX(VatLieu!$A:$A,121))="","",IF(COUNTIF(INDEX(VatLieu!$A:$A,4):INDEX(VatLieu!$A:$A,121),INDEX(VatLieu!$A:$A,121))=1,MAX($C$1:C118)+1,""))</f>
        <v/>
      </c>
      <c r="D119" t="str">
        <f>IFERROR(INDEX(VatLieu!$A:$A,MATCH(ROW()-1,$C$2:$C$201,0)+3),"")</f>
        <v/>
      </c>
      <c r="E119" t="str">
        <f>IF(TRIM(INDEX(CongDoan!$A:$A,121))="","",IF(COUNTIF(INDEX(CongDoan!$A:$A,4):INDEX(CongDoan!$A:$A,121),INDEX(CongDoan!$A:$A,121))=1,MAX($E$1:E118)+1,""))</f>
        <v/>
      </c>
      <c r="F119" t="str">
        <f>IFERROR(INDEX(CongDoan!$A:$A,MATCH(ROW()-1,$E$2:$E$197,0)+3),"")</f>
        <v/>
      </c>
    </row>
    <row r="120">
      <c r="A120" t="str">
        <f>IF(TRIM(INDEX(DonGia!$A:$A,122))="","",IF(COUNTIF(INDEX(DonGia!$A:$A,4):INDEX(DonGia!$A:$A,122),INDEX(DonGia!$A:$A,122))=1,MAX($A$1:A119)+1,""))</f>
        <v/>
      </c>
      <c r="B120" t="str">
        <f>IFERROR(INDEX(DonGia!$A:$A,MATCH(ROW()-1,$A$2:$A$201,0)+3),"")</f>
        <v/>
      </c>
      <c r="C120" t="str">
        <f>IF(TRIM(INDEX(VatLieu!$A:$A,122))="","",IF(COUNTIF(INDEX(VatLieu!$A:$A,4):INDEX(VatLieu!$A:$A,122),INDEX(VatLieu!$A:$A,122))=1,MAX($C$1:C119)+1,""))</f>
        <v/>
      </c>
      <c r="D120" t="str">
        <f>IFERROR(INDEX(VatLieu!$A:$A,MATCH(ROW()-1,$C$2:$C$201,0)+3),"")</f>
        <v/>
      </c>
      <c r="E120" t="str">
        <f>IF(TRIM(INDEX(CongDoan!$A:$A,122))="","",IF(COUNTIF(INDEX(CongDoan!$A:$A,4):INDEX(CongDoan!$A:$A,122),INDEX(CongDoan!$A:$A,122))=1,MAX($E$1:E119)+1,""))</f>
        <v/>
      </c>
      <c r="F120" t="str">
        <f>IFERROR(INDEX(CongDoan!$A:$A,MATCH(ROW()-1,$E$2:$E$197,0)+3),"")</f>
        <v/>
      </c>
    </row>
    <row r="121">
      <c r="A121" t="str">
        <f>IF(TRIM(INDEX(DonGia!$A:$A,123))="","",IF(COUNTIF(INDEX(DonGia!$A:$A,4):INDEX(DonGia!$A:$A,123),INDEX(DonGia!$A:$A,123))=1,MAX($A$1:A120)+1,""))</f>
        <v/>
      </c>
      <c r="B121" t="str">
        <f>IFERROR(INDEX(DonGia!$A:$A,MATCH(ROW()-1,$A$2:$A$201,0)+3),"")</f>
        <v/>
      </c>
      <c r="C121" t="str">
        <f>IF(TRIM(INDEX(VatLieu!$A:$A,123))="","",IF(COUNTIF(INDEX(VatLieu!$A:$A,4):INDEX(VatLieu!$A:$A,123),INDEX(VatLieu!$A:$A,123))=1,MAX($C$1:C120)+1,""))</f>
        <v/>
      </c>
      <c r="D121" t="str">
        <f>IFERROR(INDEX(VatLieu!$A:$A,MATCH(ROW()-1,$C$2:$C$201,0)+3),"")</f>
        <v/>
      </c>
      <c r="E121" t="str">
        <f>IF(TRIM(INDEX(CongDoan!$A:$A,123))="","",IF(COUNTIF(INDEX(CongDoan!$A:$A,4):INDEX(CongDoan!$A:$A,123),INDEX(CongDoan!$A:$A,123))=1,MAX($E$1:E120)+1,""))</f>
        <v/>
      </c>
      <c r="F121" t="str">
        <f>IFERROR(INDEX(CongDoan!$A:$A,MATCH(ROW()-1,$E$2:$E$197,0)+3),"")</f>
        <v/>
      </c>
    </row>
    <row r="122">
      <c r="A122" t="str">
        <f>IF(TRIM(INDEX(DonGia!$A:$A,124))="","",IF(COUNTIF(INDEX(DonGia!$A:$A,4):INDEX(DonGia!$A:$A,124),INDEX(DonGia!$A:$A,124))=1,MAX($A$1:A121)+1,""))</f>
        <v/>
      </c>
      <c r="B122" t="str">
        <f>IFERROR(INDEX(DonGia!$A:$A,MATCH(ROW()-1,$A$2:$A$201,0)+3),"")</f>
        <v/>
      </c>
      <c r="C122" t="str">
        <f>IF(TRIM(INDEX(VatLieu!$A:$A,124))="","",IF(COUNTIF(INDEX(VatLieu!$A:$A,4):INDEX(VatLieu!$A:$A,124),INDEX(VatLieu!$A:$A,124))=1,MAX($C$1:C121)+1,""))</f>
        <v/>
      </c>
      <c r="D122" t="str">
        <f>IFERROR(INDEX(VatLieu!$A:$A,MATCH(ROW()-1,$C$2:$C$201,0)+3),"")</f>
        <v/>
      </c>
      <c r="E122" t="str">
        <f>IF(TRIM(INDEX(CongDoan!$A:$A,124))="","",IF(COUNTIF(INDEX(CongDoan!$A:$A,4):INDEX(CongDoan!$A:$A,124),INDEX(CongDoan!$A:$A,124))=1,MAX($E$1:E121)+1,""))</f>
        <v/>
      </c>
      <c r="F122" t="str">
        <f>IFERROR(INDEX(CongDoan!$A:$A,MATCH(ROW()-1,$E$2:$E$197,0)+3),"")</f>
        <v/>
      </c>
    </row>
    <row r="123">
      <c r="A123" t="str">
        <f>IF(TRIM(INDEX(DonGia!$A:$A,125))="","",IF(COUNTIF(INDEX(DonGia!$A:$A,4):INDEX(DonGia!$A:$A,125),INDEX(DonGia!$A:$A,125))=1,MAX($A$1:A122)+1,""))</f>
        <v/>
      </c>
      <c r="B123" t="str">
        <f>IFERROR(INDEX(DonGia!$A:$A,MATCH(ROW()-1,$A$2:$A$201,0)+3),"")</f>
        <v/>
      </c>
      <c r="C123" t="str">
        <f>IF(TRIM(INDEX(VatLieu!$A:$A,125))="","",IF(COUNTIF(INDEX(VatLieu!$A:$A,4):INDEX(VatLieu!$A:$A,125),INDEX(VatLieu!$A:$A,125))=1,MAX($C$1:C122)+1,""))</f>
        <v/>
      </c>
      <c r="D123" t="str">
        <f>IFERROR(INDEX(VatLieu!$A:$A,MATCH(ROW()-1,$C$2:$C$201,0)+3),"")</f>
        <v/>
      </c>
      <c r="E123" t="str">
        <f>IF(TRIM(INDEX(CongDoan!$A:$A,125))="","",IF(COUNTIF(INDEX(CongDoan!$A:$A,4):INDEX(CongDoan!$A:$A,125),INDEX(CongDoan!$A:$A,125))=1,MAX($E$1:E122)+1,""))</f>
        <v/>
      </c>
      <c r="F123" t="str">
        <f>IFERROR(INDEX(CongDoan!$A:$A,MATCH(ROW()-1,$E$2:$E$197,0)+3),"")</f>
        <v/>
      </c>
    </row>
    <row r="124">
      <c r="A124" t="str">
        <f>IF(TRIM(INDEX(DonGia!$A:$A,126))="","",IF(COUNTIF(INDEX(DonGia!$A:$A,4):INDEX(DonGia!$A:$A,126),INDEX(DonGia!$A:$A,126))=1,MAX($A$1:A123)+1,""))</f>
        <v/>
      </c>
      <c r="B124" t="str">
        <f>IFERROR(INDEX(DonGia!$A:$A,MATCH(ROW()-1,$A$2:$A$201,0)+3),"")</f>
        <v/>
      </c>
      <c r="C124" t="str">
        <f>IF(TRIM(INDEX(VatLieu!$A:$A,126))="","",IF(COUNTIF(INDEX(VatLieu!$A:$A,4):INDEX(VatLieu!$A:$A,126),INDEX(VatLieu!$A:$A,126))=1,MAX($C$1:C123)+1,""))</f>
        <v/>
      </c>
      <c r="D124" t="str">
        <f>IFERROR(INDEX(VatLieu!$A:$A,MATCH(ROW()-1,$C$2:$C$201,0)+3),"")</f>
        <v/>
      </c>
      <c r="E124" t="str">
        <f>IF(TRIM(INDEX(CongDoan!$A:$A,126))="","",IF(COUNTIF(INDEX(CongDoan!$A:$A,4):INDEX(CongDoan!$A:$A,126),INDEX(CongDoan!$A:$A,126))=1,MAX($E$1:E123)+1,""))</f>
        <v/>
      </c>
      <c r="F124" t="str">
        <f>IFERROR(INDEX(CongDoan!$A:$A,MATCH(ROW()-1,$E$2:$E$197,0)+3),"")</f>
        <v/>
      </c>
    </row>
    <row r="125">
      <c r="A125" t="str">
        <f>IF(TRIM(INDEX(DonGia!$A:$A,127))="","",IF(COUNTIF(INDEX(DonGia!$A:$A,4):INDEX(DonGia!$A:$A,127),INDEX(DonGia!$A:$A,127))=1,MAX($A$1:A124)+1,""))</f>
        <v/>
      </c>
      <c r="B125" t="str">
        <f>IFERROR(INDEX(DonGia!$A:$A,MATCH(ROW()-1,$A$2:$A$201,0)+3),"")</f>
        <v/>
      </c>
      <c r="C125" t="str">
        <f>IF(TRIM(INDEX(VatLieu!$A:$A,127))="","",IF(COUNTIF(INDEX(VatLieu!$A:$A,4):INDEX(VatLieu!$A:$A,127),INDEX(VatLieu!$A:$A,127))=1,MAX($C$1:C124)+1,""))</f>
        <v/>
      </c>
      <c r="D125" t="str">
        <f>IFERROR(INDEX(VatLieu!$A:$A,MATCH(ROW()-1,$C$2:$C$201,0)+3),"")</f>
        <v/>
      </c>
      <c r="E125" t="str">
        <f>IF(TRIM(INDEX(CongDoan!$A:$A,127))="","",IF(COUNTIF(INDEX(CongDoan!$A:$A,4):INDEX(CongDoan!$A:$A,127),INDEX(CongDoan!$A:$A,127))=1,MAX($E$1:E124)+1,""))</f>
        <v/>
      </c>
      <c r="F125" t="str">
        <f>IFERROR(INDEX(CongDoan!$A:$A,MATCH(ROW()-1,$E$2:$E$197,0)+3),"")</f>
        <v/>
      </c>
    </row>
    <row r="126">
      <c r="A126" t="str">
        <f>IF(TRIM(INDEX(DonGia!$A:$A,128))="","",IF(COUNTIF(INDEX(DonGia!$A:$A,4):INDEX(DonGia!$A:$A,128),INDEX(DonGia!$A:$A,128))=1,MAX($A$1:A125)+1,""))</f>
        <v/>
      </c>
      <c r="B126" t="str">
        <f>IFERROR(INDEX(DonGia!$A:$A,MATCH(ROW()-1,$A$2:$A$201,0)+3),"")</f>
        <v/>
      </c>
      <c r="C126" t="str">
        <f>IF(TRIM(INDEX(VatLieu!$A:$A,128))="","",IF(COUNTIF(INDEX(VatLieu!$A:$A,4):INDEX(VatLieu!$A:$A,128),INDEX(VatLieu!$A:$A,128))=1,MAX($C$1:C125)+1,""))</f>
        <v/>
      </c>
      <c r="D126" t="str">
        <f>IFERROR(INDEX(VatLieu!$A:$A,MATCH(ROW()-1,$C$2:$C$201,0)+3),"")</f>
        <v/>
      </c>
      <c r="E126" t="str">
        <f>IF(TRIM(INDEX(CongDoan!$A:$A,128))="","",IF(COUNTIF(INDEX(CongDoan!$A:$A,4):INDEX(CongDoan!$A:$A,128),INDEX(CongDoan!$A:$A,128))=1,MAX($E$1:E125)+1,""))</f>
        <v/>
      </c>
      <c r="F126" t="str">
        <f>IFERROR(INDEX(CongDoan!$A:$A,MATCH(ROW()-1,$E$2:$E$197,0)+3),"")</f>
        <v/>
      </c>
    </row>
    <row r="127">
      <c r="A127" t="str">
        <f>IF(TRIM(INDEX(DonGia!$A:$A,129))="","",IF(COUNTIF(INDEX(DonGia!$A:$A,4):INDEX(DonGia!$A:$A,129),INDEX(DonGia!$A:$A,129))=1,MAX($A$1:A126)+1,""))</f>
        <v/>
      </c>
      <c r="B127" t="str">
        <f>IFERROR(INDEX(DonGia!$A:$A,MATCH(ROW()-1,$A$2:$A$201,0)+3),"")</f>
        <v/>
      </c>
      <c r="C127" t="str">
        <f>IF(TRIM(INDEX(VatLieu!$A:$A,129))="","",IF(COUNTIF(INDEX(VatLieu!$A:$A,4):INDEX(VatLieu!$A:$A,129),INDEX(VatLieu!$A:$A,129))=1,MAX($C$1:C126)+1,""))</f>
        <v/>
      </c>
      <c r="D127" t="str">
        <f>IFERROR(INDEX(VatLieu!$A:$A,MATCH(ROW()-1,$C$2:$C$201,0)+3),"")</f>
        <v/>
      </c>
      <c r="E127" t="str">
        <f>IF(TRIM(INDEX(CongDoan!$A:$A,129))="","",IF(COUNTIF(INDEX(CongDoan!$A:$A,4):INDEX(CongDoan!$A:$A,129),INDEX(CongDoan!$A:$A,129))=1,MAX($E$1:E126)+1,""))</f>
        <v/>
      </c>
      <c r="F127" t="str">
        <f>IFERROR(INDEX(CongDoan!$A:$A,MATCH(ROW()-1,$E$2:$E$197,0)+3),"")</f>
        <v/>
      </c>
    </row>
    <row r="128">
      <c r="A128" t="str">
        <f>IF(TRIM(INDEX(DonGia!$A:$A,130))="","",IF(COUNTIF(INDEX(DonGia!$A:$A,4):INDEX(DonGia!$A:$A,130),INDEX(DonGia!$A:$A,130))=1,MAX($A$1:A127)+1,""))</f>
        <v/>
      </c>
      <c r="B128" t="str">
        <f>IFERROR(INDEX(DonGia!$A:$A,MATCH(ROW()-1,$A$2:$A$201,0)+3),"")</f>
        <v/>
      </c>
      <c r="C128" t="str">
        <f>IF(TRIM(INDEX(VatLieu!$A:$A,130))="","",IF(COUNTIF(INDEX(VatLieu!$A:$A,4):INDEX(VatLieu!$A:$A,130),INDEX(VatLieu!$A:$A,130))=1,MAX($C$1:C127)+1,""))</f>
        <v/>
      </c>
      <c r="D128" t="str">
        <f>IFERROR(INDEX(VatLieu!$A:$A,MATCH(ROW()-1,$C$2:$C$201,0)+3),"")</f>
        <v/>
      </c>
      <c r="E128" t="str">
        <f>IF(TRIM(INDEX(CongDoan!$A:$A,130))="","",IF(COUNTIF(INDEX(CongDoan!$A:$A,4):INDEX(CongDoan!$A:$A,130),INDEX(CongDoan!$A:$A,130))=1,MAX($E$1:E127)+1,""))</f>
        <v/>
      </c>
      <c r="F128" t="str">
        <f>IFERROR(INDEX(CongDoan!$A:$A,MATCH(ROW()-1,$E$2:$E$197,0)+3),"")</f>
        <v/>
      </c>
    </row>
    <row r="129">
      <c r="A129" t="str">
        <f>IF(TRIM(INDEX(DonGia!$A:$A,131))="","",IF(COUNTIF(INDEX(DonGia!$A:$A,4):INDEX(DonGia!$A:$A,131),INDEX(DonGia!$A:$A,131))=1,MAX($A$1:A128)+1,""))</f>
        <v/>
      </c>
      <c r="B129" t="str">
        <f>IFERROR(INDEX(DonGia!$A:$A,MATCH(ROW()-1,$A$2:$A$201,0)+3),"")</f>
        <v/>
      </c>
      <c r="C129" t="str">
        <f>IF(TRIM(INDEX(VatLieu!$A:$A,131))="","",IF(COUNTIF(INDEX(VatLieu!$A:$A,4):INDEX(VatLieu!$A:$A,131),INDEX(VatLieu!$A:$A,131))=1,MAX($C$1:C128)+1,""))</f>
        <v/>
      </c>
      <c r="D129" t="str">
        <f>IFERROR(INDEX(VatLieu!$A:$A,MATCH(ROW()-1,$C$2:$C$201,0)+3),"")</f>
        <v/>
      </c>
      <c r="E129" t="str">
        <f>IF(TRIM(INDEX(CongDoan!$A:$A,131))="","",IF(COUNTIF(INDEX(CongDoan!$A:$A,4):INDEX(CongDoan!$A:$A,131),INDEX(CongDoan!$A:$A,131))=1,MAX($E$1:E128)+1,""))</f>
        <v/>
      </c>
      <c r="F129" t="str">
        <f>IFERROR(INDEX(CongDoan!$A:$A,MATCH(ROW()-1,$E$2:$E$197,0)+3),"")</f>
        <v/>
      </c>
    </row>
    <row r="130">
      <c r="A130" t="str">
        <f>IF(TRIM(INDEX(DonGia!$A:$A,132))="","",IF(COUNTIF(INDEX(DonGia!$A:$A,4):INDEX(DonGia!$A:$A,132),INDEX(DonGia!$A:$A,132))=1,MAX($A$1:A129)+1,""))</f>
        <v/>
      </c>
      <c r="B130" t="str">
        <f>IFERROR(INDEX(DonGia!$A:$A,MATCH(ROW()-1,$A$2:$A$201,0)+3),"")</f>
        <v/>
      </c>
      <c r="C130" t="str">
        <f>IF(TRIM(INDEX(VatLieu!$A:$A,132))="","",IF(COUNTIF(INDEX(VatLieu!$A:$A,4):INDEX(VatLieu!$A:$A,132),INDEX(VatLieu!$A:$A,132))=1,MAX($C$1:C129)+1,""))</f>
        <v/>
      </c>
      <c r="D130" t="str">
        <f>IFERROR(INDEX(VatLieu!$A:$A,MATCH(ROW()-1,$C$2:$C$201,0)+3),"")</f>
        <v/>
      </c>
      <c r="E130" t="str">
        <f>IF(TRIM(INDEX(CongDoan!$A:$A,132))="","",IF(COUNTIF(INDEX(CongDoan!$A:$A,4):INDEX(CongDoan!$A:$A,132),INDEX(CongDoan!$A:$A,132))=1,MAX($E$1:E129)+1,""))</f>
        <v/>
      </c>
      <c r="F130" t="str">
        <f>IFERROR(INDEX(CongDoan!$A:$A,MATCH(ROW()-1,$E$2:$E$197,0)+3),"")</f>
        <v/>
      </c>
    </row>
    <row r="131">
      <c r="A131" t="str">
        <f>IF(TRIM(INDEX(DonGia!$A:$A,133))="","",IF(COUNTIF(INDEX(DonGia!$A:$A,4):INDEX(DonGia!$A:$A,133),INDEX(DonGia!$A:$A,133))=1,MAX($A$1:A130)+1,""))</f>
        <v/>
      </c>
      <c r="B131" t="str">
        <f>IFERROR(INDEX(DonGia!$A:$A,MATCH(ROW()-1,$A$2:$A$201,0)+3),"")</f>
        <v/>
      </c>
      <c r="C131" t="str">
        <f>IF(TRIM(INDEX(VatLieu!$A:$A,133))="","",IF(COUNTIF(INDEX(VatLieu!$A:$A,4):INDEX(VatLieu!$A:$A,133),INDEX(VatLieu!$A:$A,133))=1,MAX($C$1:C130)+1,""))</f>
        <v/>
      </c>
      <c r="D131" t="str">
        <f>IFERROR(INDEX(VatLieu!$A:$A,MATCH(ROW()-1,$C$2:$C$201,0)+3),"")</f>
        <v/>
      </c>
      <c r="E131" t="str">
        <f>IF(TRIM(INDEX(CongDoan!$A:$A,133))="","",IF(COUNTIF(INDEX(CongDoan!$A:$A,4):INDEX(CongDoan!$A:$A,133),INDEX(CongDoan!$A:$A,133))=1,MAX($E$1:E130)+1,""))</f>
        <v/>
      </c>
      <c r="F131" t="str">
        <f>IFERROR(INDEX(CongDoan!$A:$A,MATCH(ROW()-1,$E$2:$E$197,0)+3),"")</f>
        <v/>
      </c>
    </row>
    <row r="132">
      <c r="A132" t="str">
        <f>IF(TRIM(INDEX(DonGia!$A:$A,134))="","",IF(COUNTIF(INDEX(DonGia!$A:$A,4):INDEX(DonGia!$A:$A,134),INDEX(DonGia!$A:$A,134))=1,MAX($A$1:A131)+1,""))</f>
        <v/>
      </c>
      <c r="B132" t="str">
        <f>IFERROR(INDEX(DonGia!$A:$A,MATCH(ROW()-1,$A$2:$A$201,0)+3),"")</f>
        <v/>
      </c>
      <c r="C132" t="str">
        <f>IF(TRIM(INDEX(VatLieu!$A:$A,134))="","",IF(COUNTIF(INDEX(VatLieu!$A:$A,4):INDEX(VatLieu!$A:$A,134),INDEX(VatLieu!$A:$A,134))=1,MAX($C$1:C131)+1,""))</f>
        <v/>
      </c>
      <c r="D132" t="str">
        <f>IFERROR(INDEX(VatLieu!$A:$A,MATCH(ROW()-1,$C$2:$C$201,0)+3),"")</f>
        <v/>
      </c>
      <c r="E132" t="str">
        <f>IF(TRIM(INDEX(CongDoan!$A:$A,134))="","",IF(COUNTIF(INDEX(CongDoan!$A:$A,4):INDEX(CongDoan!$A:$A,134),INDEX(CongDoan!$A:$A,134))=1,MAX($E$1:E131)+1,""))</f>
        <v/>
      </c>
      <c r="F132" t="str">
        <f>IFERROR(INDEX(CongDoan!$A:$A,MATCH(ROW()-1,$E$2:$E$197,0)+3),"")</f>
        <v/>
      </c>
    </row>
    <row r="133">
      <c r="A133" t="str">
        <f>IF(TRIM(INDEX(DonGia!$A:$A,135))="","",IF(COUNTIF(INDEX(DonGia!$A:$A,4):INDEX(DonGia!$A:$A,135),INDEX(DonGia!$A:$A,135))=1,MAX($A$1:A132)+1,""))</f>
        <v/>
      </c>
      <c r="B133" t="str">
        <f>IFERROR(INDEX(DonGia!$A:$A,MATCH(ROW()-1,$A$2:$A$201,0)+3),"")</f>
        <v/>
      </c>
      <c r="C133" t="str">
        <f>IF(TRIM(INDEX(VatLieu!$A:$A,135))="","",IF(COUNTIF(INDEX(VatLieu!$A:$A,4):INDEX(VatLieu!$A:$A,135),INDEX(VatLieu!$A:$A,135))=1,MAX($C$1:C132)+1,""))</f>
        <v/>
      </c>
      <c r="D133" t="str">
        <f>IFERROR(INDEX(VatLieu!$A:$A,MATCH(ROW()-1,$C$2:$C$201,0)+3),"")</f>
        <v/>
      </c>
      <c r="E133" t="str">
        <f>IF(TRIM(INDEX(CongDoan!$A:$A,135))="","",IF(COUNTIF(INDEX(CongDoan!$A:$A,4):INDEX(CongDoan!$A:$A,135),INDEX(CongDoan!$A:$A,135))=1,MAX($E$1:E132)+1,""))</f>
        <v/>
      </c>
      <c r="F133" t="str">
        <f>IFERROR(INDEX(CongDoan!$A:$A,MATCH(ROW()-1,$E$2:$E$197,0)+3),"")</f>
        <v/>
      </c>
    </row>
    <row r="134">
      <c r="A134" t="str">
        <f>IF(TRIM(INDEX(DonGia!$A:$A,136))="","",IF(COUNTIF(INDEX(DonGia!$A:$A,4):INDEX(DonGia!$A:$A,136),INDEX(DonGia!$A:$A,136))=1,MAX($A$1:A133)+1,""))</f>
        <v/>
      </c>
      <c r="B134" t="str">
        <f>IFERROR(INDEX(DonGia!$A:$A,MATCH(ROW()-1,$A$2:$A$201,0)+3),"")</f>
        <v/>
      </c>
      <c r="C134" t="str">
        <f>IF(TRIM(INDEX(VatLieu!$A:$A,136))="","",IF(COUNTIF(INDEX(VatLieu!$A:$A,4):INDEX(VatLieu!$A:$A,136),INDEX(VatLieu!$A:$A,136))=1,MAX($C$1:C133)+1,""))</f>
        <v/>
      </c>
      <c r="D134" t="str">
        <f>IFERROR(INDEX(VatLieu!$A:$A,MATCH(ROW()-1,$C$2:$C$201,0)+3),"")</f>
        <v/>
      </c>
      <c r="E134" t="str">
        <f>IF(TRIM(INDEX(CongDoan!$A:$A,136))="","",IF(COUNTIF(INDEX(CongDoan!$A:$A,4):INDEX(CongDoan!$A:$A,136),INDEX(CongDoan!$A:$A,136))=1,MAX($E$1:E133)+1,""))</f>
        <v/>
      </c>
      <c r="F134" t="str">
        <f>IFERROR(INDEX(CongDoan!$A:$A,MATCH(ROW()-1,$E$2:$E$197,0)+3),"")</f>
        <v/>
      </c>
    </row>
    <row r="135">
      <c r="A135" t="str">
        <f>IF(TRIM(INDEX(DonGia!$A:$A,137))="","",IF(COUNTIF(INDEX(DonGia!$A:$A,4):INDEX(DonGia!$A:$A,137),INDEX(DonGia!$A:$A,137))=1,MAX($A$1:A134)+1,""))</f>
        <v/>
      </c>
      <c r="B135" t="str">
        <f>IFERROR(INDEX(DonGia!$A:$A,MATCH(ROW()-1,$A$2:$A$201,0)+3),"")</f>
        <v/>
      </c>
      <c r="C135" t="str">
        <f>IF(TRIM(INDEX(VatLieu!$A:$A,137))="","",IF(COUNTIF(INDEX(VatLieu!$A:$A,4):INDEX(VatLieu!$A:$A,137),INDEX(VatLieu!$A:$A,137))=1,MAX($C$1:C134)+1,""))</f>
        <v/>
      </c>
      <c r="D135" t="str">
        <f>IFERROR(INDEX(VatLieu!$A:$A,MATCH(ROW()-1,$C$2:$C$201,0)+3),"")</f>
        <v/>
      </c>
      <c r="E135" t="str">
        <f>IF(TRIM(INDEX(CongDoan!$A:$A,137))="","",IF(COUNTIF(INDEX(CongDoan!$A:$A,4):INDEX(CongDoan!$A:$A,137),INDEX(CongDoan!$A:$A,137))=1,MAX($E$1:E134)+1,""))</f>
        <v/>
      </c>
      <c r="F135" t="str">
        <f>IFERROR(INDEX(CongDoan!$A:$A,MATCH(ROW()-1,$E$2:$E$197,0)+3),"")</f>
        <v/>
      </c>
    </row>
    <row r="136">
      <c r="A136" t="str">
        <f>IF(TRIM(INDEX(DonGia!$A:$A,138))="","",IF(COUNTIF(INDEX(DonGia!$A:$A,4):INDEX(DonGia!$A:$A,138),INDEX(DonGia!$A:$A,138))=1,MAX($A$1:A135)+1,""))</f>
        <v/>
      </c>
      <c r="B136" t="str">
        <f>IFERROR(INDEX(DonGia!$A:$A,MATCH(ROW()-1,$A$2:$A$201,0)+3),"")</f>
        <v/>
      </c>
      <c r="C136" t="str">
        <f>IF(TRIM(INDEX(VatLieu!$A:$A,138))="","",IF(COUNTIF(INDEX(VatLieu!$A:$A,4):INDEX(VatLieu!$A:$A,138),INDEX(VatLieu!$A:$A,138))=1,MAX($C$1:C135)+1,""))</f>
        <v/>
      </c>
      <c r="D136" t="str">
        <f>IFERROR(INDEX(VatLieu!$A:$A,MATCH(ROW()-1,$C$2:$C$201,0)+3),"")</f>
        <v/>
      </c>
      <c r="E136" t="str">
        <f>IF(TRIM(INDEX(CongDoan!$A:$A,138))="","",IF(COUNTIF(INDEX(CongDoan!$A:$A,4):INDEX(CongDoan!$A:$A,138),INDEX(CongDoan!$A:$A,138))=1,MAX($E$1:E135)+1,""))</f>
        <v/>
      </c>
      <c r="F136" t="str">
        <f>IFERROR(INDEX(CongDoan!$A:$A,MATCH(ROW()-1,$E$2:$E$197,0)+3),"")</f>
        <v/>
      </c>
    </row>
    <row r="137">
      <c r="A137" t="str">
        <f>IF(TRIM(INDEX(DonGia!$A:$A,139))="","",IF(COUNTIF(INDEX(DonGia!$A:$A,4):INDEX(DonGia!$A:$A,139),INDEX(DonGia!$A:$A,139))=1,MAX($A$1:A136)+1,""))</f>
        <v/>
      </c>
      <c r="B137" t="str">
        <f>IFERROR(INDEX(DonGia!$A:$A,MATCH(ROW()-1,$A$2:$A$201,0)+3),"")</f>
        <v/>
      </c>
      <c r="C137" t="str">
        <f>IF(TRIM(INDEX(VatLieu!$A:$A,139))="","",IF(COUNTIF(INDEX(VatLieu!$A:$A,4):INDEX(VatLieu!$A:$A,139),INDEX(VatLieu!$A:$A,139))=1,MAX($C$1:C136)+1,""))</f>
        <v/>
      </c>
      <c r="D137" t="str">
        <f>IFERROR(INDEX(VatLieu!$A:$A,MATCH(ROW()-1,$C$2:$C$201,0)+3),"")</f>
        <v/>
      </c>
      <c r="E137" t="str">
        <f>IF(TRIM(INDEX(CongDoan!$A:$A,139))="","",IF(COUNTIF(INDEX(CongDoan!$A:$A,4):INDEX(CongDoan!$A:$A,139),INDEX(CongDoan!$A:$A,139))=1,MAX($E$1:E136)+1,""))</f>
        <v/>
      </c>
      <c r="F137" t="str">
        <f>IFERROR(INDEX(CongDoan!$A:$A,MATCH(ROW()-1,$E$2:$E$197,0)+3),"")</f>
        <v/>
      </c>
    </row>
    <row r="138">
      <c r="A138" t="str">
        <f>IF(TRIM(INDEX(DonGia!$A:$A,140))="","",IF(COUNTIF(INDEX(DonGia!$A:$A,4):INDEX(DonGia!$A:$A,140),INDEX(DonGia!$A:$A,140))=1,MAX($A$1:A137)+1,""))</f>
        <v/>
      </c>
      <c r="B138" t="str">
        <f>IFERROR(INDEX(DonGia!$A:$A,MATCH(ROW()-1,$A$2:$A$201,0)+3),"")</f>
        <v/>
      </c>
      <c r="C138" t="str">
        <f>IF(TRIM(INDEX(VatLieu!$A:$A,140))="","",IF(COUNTIF(INDEX(VatLieu!$A:$A,4):INDEX(VatLieu!$A:$A,140),INDEX(VatLieu!$A:$A,140))=1,MAX($C$1:C137)+1,""))</f>
        <v/>
      </c>
      <c r="D138" t="str">
        <f>IFERROR(INDEX(VatLieu!$A:$A,MATCH(ROW()-1,$C$2:$C$201,0)+3),"")</f>
        <v/>
      </c>
      <c r="E138" t="str">
        <f>IF(TRIM(INDEX(CongDoan!$A:$A,140))="","",IF(COUNTIF(INDEX(CongDoan!$A:$A,4):INDEX(CongDoan!$A:$A,140),INDEX(CongDoan!$A:$A,140))=1,MAX($E$1:E137)+1,""))</f>
        <v/>
      </c>
      <c r="F138" t="str">
        <f>IFERROR(INDEX(CongDoan!$A:$A,MATCH(ROW()-1,$E$2:$E$197,0)+3),"")</f>
        <v/>
      </c>
    </row>
    <row r="139">
      <c r="A139" t="str">
        <f>IF(TRIM(INDEX(DonGia!$A:$A,141))="","",IF(COUNTIF(INDEX(DonGia!$A:$A,4):INDEX(DonGia!$A:$A,141),INDEX(DonGia!$A:$A,141))=1,MAX($A$1:A138)+1,""))</f>
        <v/>
      </c>
      <c r="B139" t="str">
        <f>IFERROR(INDEX(DonGia!$A:$A,MATCH(ROW()-1,$A$2:$A$201,0)+3),"")</f>
        <v/>
      </c>
      <c r="C139" t="str">
        <f>IF(TRIM(INDEX(VatLieu!$A:$A,141))="","",IF(COUNTIF(INDEX(VatLieu!$A:$A,4):INDEX(VatLieu!$A:$A,141),INDEX(VatLieu!$A:$A,141))=1,MAX($C$1:C138)+1,""))</f>
        <v/>
      </c>
      <c r="D139" t="str">
        <f>IFERROR(INDEX(VatLieu!$A:$A,MATCH(ROW()-1,$C$2:$C$201,0)+3),"")</f>
        <v/>
      </c>
      <c r="E139" t="str">
        <f>IF(TRIM(INDEX(CongDoan!$A:$A,141))="","",IF(COUNTIF(INDEX(CongDoan!$A:$A,4):INDEX(CongDoan!$A:$A,141),INDEX(CongDoan!$A:$A,141))=1,MAX($E$1:E138)+1,""))</f>
        <v/>
      </c>
      <c r="F139" t="str">
        <f>IFERROR(INDEX(CongDoan!$A:$A,MATCH(ROW()-1,$E$2:$E$197,0)+3),"")</f>
        <v/>
      </c>
    </row>
    <row r="140">
      <c r="A140" t="str">
        <f>IF(TRIM(INDEX(DonGia!$A:$A,142))="","",IF(COUNTIF(INDEX(DonGia!$A:$A,4):INDEX(DonGia!$A:$A,142),INDEX(DonGia!$A:$A,142))=1,MAX($A$1:A139)+1,""))</f>
        <v/>
      </c>
      <c r="B140" t="str">
        <f>IFERROR(INDEX(DonGia!$A:$A,MATCH(ROW()-1,$A$2:$A$201,0)+3),"")</f>
        <v/>
      </c>
      <c r="C140" t="str">
        <f>IF(TRIM(INDEX(VatLieu!$A:$A,142))="","",IF(COUNTIF(INDEX(VatLieu!$A:$A,4):INDEX(VatLieu!$A:$A,142),INDEX(VatLieu!$A:$A,142))=1,MAX($C$1:C139)+1,""))</f>
        <v/>
      </c>
      <c r="D140" t="str">
        <f>IFERROR(INDEX(VatLieu!$A:$A,MATCH(ROW()-1,$C$2:$C$201,0)+3),"")</f>
        <v/>
      </c>
      <c r="E140" t="str">
        <f>IF(TRIM(INDEX(CongDoan!$A:$A,142))="","",IF(COUNTIF(INDEX(CongDoan!$A:$A,4):INDEX(CongDoan!$A:$A,142),INDEX(CongDoan!$A:$A,142))=1,MAX($E$1:E139)+1,""))</f>
        <v/>
      </c>
      <c r="F140" t="str">
        <f>IFERROR(INDEX(CongDoan!$A:$A,MATCH(ROW()-1,$E$2:$E$197,0)+3),"")</f>
        <v/>
      </c>
    </row>
    <row r="141">
      <c r="A141" t="str">
        <f>IF(TRIM(INDEX(DonGia!$A:$A,143))="","",IF(COUNTIF(INDEX(DonGia!$A:$A,4):INDEX(DonGia!$A:$A,143),INDEX(DonGia!$A:$A,143))=1,MAX($A$1:A140)+1,""))</f>
        <v/>
      </c>
      <c r="B141" t="str">
        <f>IFERROR(INDEX(DonGia!$A:$A,MATCH(ROW()-1,$A$2:$A$201,0)+3),"")</f>
        <v/>
      </c>
      <c r="C141" t="str">
        <f>IF(TRIM(INDEX(VatLieu!$A:$A,143))="","",IF(COUNTIF(INDEX(VatLieu!$A:$A,4):INDEX(VatLieu!$A:$A,143),INDEX(VatLieu!$A:$A,143))=1,MAX($C$1:C140)+1,""))</f>
        <v/>
      </c>
      <c r="D141" t="str">
        <f>IFERROR(INDEX(VatLieu!$A:$A,MATCH(ROW()-1,$C$2:$C$201,0)+3),"")</f>
        <v/>
      </c>
      <c r="E141" t="str">
        <f>IF(TRIM(INDEX(CongDoan!$A:$A,143))="","",IF(COUNTIF(INDEX(CongDoan!$A:$A,4):INDEX(CongDoan!$A:$A,143),INDEX(CongDoan!$A:$A,143))=1,MAX($E$1:E140)+1,""))</f>
        <v/>
      </c>
      <c r="F141" t="str">
        <f>IFERROR(INDEX(CongDoan!$A:$A,MATCH(ROW()-1,$E$2:$E$197,0)+3),"")</f>
        <v/>
      </c>
    </row>
    <row r="142">
      <c r="A142" t="str">
        <f>IF(TRIM(INDEX(DonGia!$A:$A,144))="","",IF(COUNTIF(INDEX(DonGia!$A:$A,4):INDEX(DonGia!$A:$A,144),INDEX(DonGia!$A:$A,144))=1,MAX($A$1:A141)+1,""))</f>
        <v/>
      </c>
      <c r="B142" t="str">
        <f>IFERROR(INDEX(DonGia!$A:$A,MATCH(ROW()-1,$A$2:$A$201,0)+3),"")</f>
        <v/>
      </c>
      <c r="C142" t="str">
        <f>IF(TRIM(INDEX(VatLieu!$A:$A,144))="","",IF(COUNTIF(INDEX(VatLieu!$A:$A,4):INDEX(VatLieu!$A:$A,144),INDEX(VatLieu!$A:$A,144))=1,MAX($C$1:C141)+1,""))</f>
        <v/>
      </c>
      <c r="D142" t="str">
        <f>IFERROR(INDEX(VatLieu!$A:$A,MATCH(ROW()-1,$C$2:$C$201,0)+3),"")</f>
        <v/>
      </c>
      <c r="E142" t="str">
        <f>IF(TRIM(INDEX(CongDoan!$A:$A,144))="","",IF(COUNTIF(INDEX(CongDoan!$A:$A,4):INDEX(CongDoan!$A:$A,144),INDEX(CongDoan!$A:$A,144))=1,MAX($E$1:E141)+1,""))</f>
        <v/>
      </c>
      <c r="F142" t="str">
        <f>IFERROR(INDEX(CongDoan!$A:$A,MATCH(ROW()-1,$E$2:$E$197,0)+3),"")</f>
        <v/>
      </c>
    </row>
    <row r="143">
      <c r="A143" t="str">
        <f>IF(TRIM(INDEX(DonGia!$A:$A,145))="","",IF(COUNTIF(INDEX(DonGia!$A:$A,4):INDEX(DonGia!$A:$A,145),INDEX(DonGia!$A:$A,145))=1,MAX($A$1:A142)+1,""))</f>
        <v/>
      </c>
      <c r="B143" t="str">
        <f>IFERROR(INDEX(DonGia!$A:$A,MATCH(ROW()-1,$A$2:$A$201,0)+3),"")</f>
        <v/>
      </c>
      <c r="C143" t="str">
        <f>IF(TRIM(INDEX(VatLieu!$A:$A,145))="","",IF(COUNTIF(INDEX(VatLieu!$A:$A,4):INDEX(VatLieu!$A:$A,145),INDEX(VatLieu!$A:$A,145))=1,MAX($C$1:C142)+1,""))</f>
        <v/>
      </c>
      <c r="D143" t="str">
        <f>IFERROR(INDEX(VatLieu!$A:$A,MATCH(ROW()-1,$C$2:$C$201,0)+3),"")</f>
        <v/>
      </c>
      <c r="E143" t="str">
        <f>IF(TRIM(INDEX(CongDoan!$A:$A,145))="","",IF(COUNTIF(INDEX(CongDoan!$A:$A,4):INDEX(CongDoan!$A:$A,145),INDEX(CongDoan!$A:$A,145))=1,MAX($E$1:E142)+1,""))</f>
        <v/>
      </c>
      <c r="F143" t="str">
        <f>IFERROR(INDEX(CongDoan!$A:$A,MATCH(ROW()-1,$E$2:$E$197,0)+3),"")</f>
        <v/>
      </c>
    </row>
    <row r="144">
      <c r="A144" t="str">
        <f>IF(TRIM(INDEX(DonGia!$A:$A,146))="","",IF(COUNTIF(INDEX(DonGia!$A:$A,4):INDEX(DonGia!$A:$A,146),INDEX(DonGia!$A:$A,146))=1,MAX($A$1:A143)+1,""))</f>
        <v/>
      </c>
      <c r="B144" t="str">
        <f>IFERROR(INDEX(DonGia!$A:$A,MATCH(ROW()-1,$A$2:$A$201,0)+3),"")</f>
        <v/>
      </c>
      <c r="C144" t="str">
        <f>IF(TRIM(INDEX(VatLieu!$A:$A,146))="","",IF(COUNTIF(INDEX(VatLieu!$A:$A,4):INDEX(VatLieu!$A:$A,146),INDEX(VatLieu!$A:$A,146))=1,MAX($C$1:C143)+1,""))</f>
        <v/>
      </c>
      <c r="D144" t="str">
        <f>IFERROR(INDEX(VatLieu!$A:$A,MATCH(ROW()-1,$C$2:$C$201,0)+3),"")</f>
        <v/>
      </c>
      <c r="E144" t="str">
        <f>IF(TRIM(INDEX(CongDoan!$A:$A,146))="","",IF(COUNTIF(INDEX(CongDoan!$A:$A,4):INDEX(CongDoan!$A:$A,146),INDEX(CongDoan!$A:$A,146))=1,MAX($E$1:E143)+1,""))</f>
        <v/>
      </c>
      <c r="F144" t="str">
        <f>IFERROR(INDEX(CongDoan!$A:$A,MATCH(ROW()-1,$E$2:$E$197,0)+3),"")</f>
        <v/>
      </c>
    </row>
    <row r="145">
      <c r="A145" t="str">
        <f>IF(TRIM(INDEX(DonGia!$A:$A,147))="","",IF(COUNTIF(INDEX(DonGia!$A:$A,4):INDEX(DonGia!$A:$A,147),INDEX(DonGia!$A:$A,147))=1,MAX($A$1:A144)+1,""))</f>
        <v/>
      </c>
      <c r="B145" t="str">
        <f>IFERROR(INDEX(DonGia!$A:$A,MATCH(ROW()-1,$A$2:$A$201,0)+3),"")</f>
        <v/>
      </c>
      <c r="C145" t="str">
        <f>IF(TRIM(INDEX(VatLieu!$A:$A,147))="","",IF(COUNTIF(INDEX(VatLieu!$A:$A,4):INDEX(VatLieu!$A:$A,147),INDEX(VatLieu!$A:$A,147))=1,MAX($C$1:C144)+1,""))</f>
        <v/>
      </c>
      <c r="D145" t="str">
        <f>IFERROR(INDEX(VatLieu!$A:$A,MATCH(ROW()-1,$C$2:$C$201,0)+3),"")</f>
        <v/>
      </c>
      <c r="E145" t="str">
        <f>IF(TRIM(INDEX(CongDoan!$A:$A,147))="","",IF(COUNTIF(INDEX(CongDoan!$A:$A,4):INDEX(CongDoan!$A:$A,147),INDEX(CongDoan!$A:$A,147))=1,MAX($E$1:E144)+1,""))</f>
        <v/>
      </c>
      <c r="F145" t="str">
        <f>IFERROR(INDEX(CongDoan!$A:$A,MATCH(ROW()-1,$E$2:$E$197,0)+3),"")</f>
        <v/>
      </c>
    </row>
    <row r="146">
      <c r="A146" t="str">
        <f>IF(TRIM(INDEX(DonGia!$A:$A,148))="","",IF(COUNTIF(INDEX(DonGia!$A:$A,4):INDEX(DonGia!$A:$A,148),INDEX(DonGia!$A:$A,148))=1,MAX($A$1:A145)+1,""))</f>
        <v/>
      </c>
      <c r="B146" t="str">
        <f>IFERROR(INDEX(DonGia!$A:$A,MATCH(ROW()-1,$A$2:$A$201,0)+3),"")</f>
        <v/>
      </c>
      <c r="C146" t="str">
        <f>IF(TRIM(INDEX(VatLieu!$A:$A,148))="","",IF(COUNTIF(INDEX(VatLieu!$A:$A,4):INDEX(VatLieu!$A:$A,148),INDEX(VatLieu!$A:$A,148))=1,MAX($C$1:C145)+1,""))</f>
        <v/>
      </c>
      <c r="D146" t="str">
        <f>IFERROR(INDEX(VatLieu!$A:$A,MATCH(ROW()-1,$C$2:$C$201,0)+3),"")</f>
        <v/>
      </c>
      <c r="E146" t="str">
        <f>IF(TRIM(INDEX(CongDoan!$A:$A,148))="","",IF(COUNTIF(INDEX(CongDoan!$A:$A,4):INDEX(CongDoan!$A:$A,148),INDEX(CongDoan!$A:$A,148))=1,MAX($E$1:E145)+1,""))</f>
        <v/>
      </c>
      <c r="F146" t="str">
        <f>IFERROR(INDEX(CongDoan!$A:$A,MATCH(ROW()-1,$E$2:$E$197,0)+3),"")</f>
        <v/>
      </c>
    </row>
    <row r="147">
      <c r="A147" t="str">
        <f>IF(TRIM(INDEX(DonGia!$A:$A,149))="","",IF(COUNTIF(INDEX(DonGia!$A:$A,4):INDEX(DonGia!$A:$A,149),INDEX(DonGia!$A:$A,149))=1,MAX($A$1:A146)+1,""))</f>
        <v/>
      </c>
      <c r="B147" t="str">
        <f>IFERROR(INDEX(DonGia!$A:$A,MATCH(ROW()-1,$A$2:$A$201,0)+3),"")</f>
        <v/>
      </c>
      <c r="C147" t="str">
        <f>IF(TRIM(INDEX(VatLieu!$A:$A,149))="","",IF(COUNTIF(INDEX(VatLieu!$A:$A,4):INDEX(VatLieu!$A:$A,149),INDEX(VatLieu!$A:$A,149))=1,MAX($C$1:C146)+1,""))</f>
        <v/>
      </c>
      <c r="D147" t="str">
        <f>IFERROR(INDEX(VatLieu!$A:$A,MATCH(ROW()-1,$C$2:$C$201,0)+3),"")</f>
        <v/>
      </c>
      <c r="E147" t="str">
        <f>IF(TRIM(INDEX(CongDoan!$A:$A,149))="","",IF(COUNTIF(INDEX(CongDoan!$A:$A,4):INDEX(CongDoan!$A:$A,149),INDEX(CongDoan!$A:$A,149))=1,MAX($E$1:E146)+1,""))</f>
        <v/>
      </c>
      <c r="F147" t="str">
        <f>IFERROR(INDEX(CongDoan!$A:$A,MATCH(ROW()-1,$E$2:$E$197,0)+3),"")</f>
        <v/>
      </c>
    </row>
    <row r="148">
      <c r="A148" t="str">
        <f>IF(TRIM(INDEX(DonGia!$A:$A,150))="","",IF(COUNTIF(INDEX(DonGia!$A:$A,4):INDEX(DonGia!$A:$A,150),INDEX(DonGia!$A:$A,150))=1,MAX($A$1:A147)+1,""))</f>
        <v/>
      </c>
      <c r="B148" t="str">
        <f>IFERROR(INDEX(DonGia!$A:$A,MATCH(ROW()-1,$A$2:$A$201,0)+3),"")</f>
        <v/>
      </c>
      <c r="C148" t="str">
        <f>IF(TRIM(INDEX(VatLieu!$A:$A,150))="","",IF(COUNTIF(INDEX(VatLieu!$A:$A,4):INDEX(VatLieu!$A:$A,150),INDEX(VatLieu!$A:$A,150))=1,MAX($C$1:C147)+1,""))</f>
        <v/>
      </c>
      <c r="D148" t="str">
        <f>IFERROR(INDEX(VatLieu!$A:$A,MATCH(ROW()-1,$C$2:$C$201,0)+3),"")</f>
        <v/>
      </c>
      <c r="E148" t="str">
        <f>IF(TRIM(INDEX(CongDoan!$A:$A,150))="","",IF(COUNTIF(INDEX(CongDoan!$A:$A,4):INDEX(CongDoan!$A:$A,150),INDEX(CongDoan!$A:$A,150))=1,MAX($E$1:E147)+1,""))</f>
        <v/>
      </c>
      <c r="F148" t="str">
        <f>IFERROR(INDEX(CongDoan!$A:$A,MATCH(ROW()-1,$E$2:$E$197,0)+3),"")</f>
        <v/>
      </c>
    </row>
    <row r="149">
      <c r="A149" t="str">
        <f>IF(TRIM(INDEX(DonGia!$A:$A,151))="","",IF(COUNTIF(INDEX(DonGia!$A:$A,4):INDEX(DonGia!$A:$A,151),INDEX(DonGia!$A:$A,151))=1,MAX($A$1:A148)+1,""))</f>
        <v/>
      </c>
      <c r="B149" t="str">
        <f>IFERROR(INDEX(DonGia!$A:$A,MATCH(ROW()-1,$A$2:$A$201,0)+3),"")</f>
        <v/>
      </c>
      <c r="C149" t="str">
        <f>IF(TRIM(INDEX(VatLieu!$A:$A,151))="","",IF(COUNTIF(INDEX(VatLieu!$A:$A,4):INDEX(VatLieu!$A:$A,151),INDEX(VatLieu!$A:$A,151))=1,MAX($C$1:C148)+1,""))</f>
        <v/>
      </c>
      <c r="D149" t="str">
        <f>IFERROR(INDEX(VatLieu!$A:$A,MATCH(ROW()-1,$C$2:$C$201,0)+3),"")</f>
        <v/>
      </c>
      <c r="E149" t="str">
        <f>IF(TRIM(INDEX(CongDoan!$A:$A,151))="","",IF(COUNTIF(INDEX(CongDoan!$A:$A,4):INDEX(CongDoan!$A:$A,151),INDEX(CongDoan!$A:$A,151))=1,MAX($E$1:E148)+1,""))</f>
        <v/>
      </c>
      <c r="F149" t="str">
        <f>IFERROR(INDEX(CongDoan!$A:$A,MATCH(ROW()-1,$E$2:$E$197,0)+3),"")</f>
        <v/>
      </c>
    </row>
    <row r="150">
      <c r="A150" t="str">
        <f>IF(TRIM(INDEX(DonGia!$A:$A,152))="","",IF(COUNTIF(INDEX(DonGia!$A:$A,4):INDEX(DonGia!$A:$A,152),INDEX(DonGia!$A:$A,152))=1,MAX($A$1:A149)+1,""))</f>
        <v/>
      </c>
      <c r="B150" t="str">
        <f>IFERROR(INDEX(DonGia!$A:$A,MATCH(ROW()-1,$A$2:$A$201,0)+3),"")</f>
        <v/>
      </c>
      <c r="C150" t="str">
        <f>IF(TRIM(INDEX(VatLieu!$A:$A,152))="","",IF(COUNTIF(INDEX(VatLieu!$A:$A,4):INDEX(VatLieu!$A:$A,152),INDEX(VatLieu!$A:$A,152))=1,MAX($C$1:C149)+1,""))</f>
        <v/>
      </c>
      <c r="D150" t="str">
        <f>IFERROR(INDEX(VatLieu!$A:$A,MATCH(ROW()-1,$C$2:$C$201,0)+3),"")</f>
        <v/>
      </c>
      <c r="E150" t="str">
        <f>IF(TRIM(INDEX(CongDoan!$A:$A,152))="","",IF(COUNTIF(INDEX(CongDoan!$A:$A,4):INDEX(CongDoan!$A:$A,152),INDEX(CongDoan!$A:$A,152))=1,MAX($E$1:E149)+1,""))</f>
        <v/>
      </c>
      <c r="F150" t="str">
        <f>IFERROR(INDEX(CongDoan!$A:$A,MATCH(ROW()-1,$E$2:$E$197,0)+3),"")</f>
        <v/>
      </c>
    </row>
    <row r="151">
      <c r="A151" t="str">
        <f>IF(TRIM(INDEX(DonGia!$A:$A,153))="","",IF(COUNTIF(INDEX(DonGia!$A:$A,4):INDEX(DonGia!$A:$A,153),INDEX(DonGia!$A:$A,153))=1,MAX($A$1:A150)+1,""))</f>
        <v/>
      </c>
      <c r="B151" t="str">
        <f>IFERROR(INDEX(DonGia!$A:$A,MATCH(ROW()-1,$A$2:$A$201,0)+3),"")</f>
        <v/>
      </c>
      <c r="C151" t="str">
        <f>IF(TRIM(INDEX(VatLieu!$A:$A,153))="","",IF(COUNTIF(INDEX(VatLieu!$A:$A,4):INDEX(VatLieu!$A:$A,153),INDEX(VatLieu!$A:$A,153))=1,MAX($C$1:C150)+1,""))</f>
        <v/>
      </c>
      <c r="D151" t="str">
        <f>IFERROR(INDEX(VatLieu!$A:$A,MATCH(ROW()-1,$C$2:$C$201,0)+3),"")</f>
        <v/>
      </c>
      <c r="E151" t="str">
        <f>IF(TRIM(INDEX(CongDoan!$A:$A,153))="","",IF(COUNTIF(INDEX(CongDoan!$A:$A,4):INDEX(CongDoan!$A:$A,153),INDEX(CongDoan!$A:$A,153))=1,MAX($E$1:E150)+1,""))</f>
        <v/>
      </c>
      <c r="F151" t="str">
        <f>IFERROR(INDEX(CongDoan!$A:$A,MATCH(ROW()-1,$E$2:$E$197,0)+3),"")</f>
        <v/>
      </c>
    </row>
    <row r="152">
      <c r="A152" t="str">
        <f>IF(TRIM(INDEX(DonGia!$A:$A,154))="","",IF(COUNTIF(INDEX(DonGia!$A:$A,4):INDEX(DonGia!$A:$A,154),INDEX(DonGia!$A:$A,154))=1,MAX($A$1:A151)+1,""))</f>
        <v/>
      </c>
      <c r="B152" t="str">
        <f>IFERROR(INDEX(DonGia!$A:$A,MATCH(ROW()-1,$A$2:$A$201,0)+3),"")</f>
        <v/>
      </c>
      <c r="C152" t="str">
        <f>IF(TRIM(INDEX(VatLieu!$A:$A,154))="","",IF(COUNTIF(INDEX(VatLieu!$A:$A,4):INDEX(VatLieu!$A:$A,154),INDEX(VatLieu!$A:$A,154))=1,MAX($C$1:C151)+1,""))</f>
        <v/>
      </c>
      <c r="D152" t="str">
        <f>IFERROR(INDEX(VatLieu!$A:$A,MATCH(ROW()-1,$C$2:$C$201,0)+3),"")</f>
        <v/>
      </c>
      <c r="E152" t="str">
        <f>IF(TRIM(INDEX(CongDoan!$A:$A,154))="","",IF(COUNTIF(INDEX(CongDoan!$A:$A,4):INDEX(CongDoan!$A:$A,154),INDEX(CongDoan!$A:$A,154))=1,MAX($E$1:E151)+1,""))</f>
        <v/>
      </c>
      <c r="F152" t="str">
        <f>IFERROR(INDEX(CongDoan!$A:$A,MATCH(ROW()-1,$E$2:$E$197,0)+3),"")</f>
        <v/>
      </c>
    </row>
    <row r="153">
      <c r="A153" t="str">
        <f>IF(TRIM(INDEX(DonGia!$A:$A,155))="","",IF(COUNTIF(INDEX(DonGia!$A:$A,4):INDEX(DonGia!$A:$A,155),INDEX(DonGia!$A:$A,155))=1,MAX($A$1:A152)+1,""))</f>
        <v/>
      </c>
      <c r="B153" t="str">
        <f>IFERROR(INDEX(DonGia!$A:$A,MATCH(ROW()-1,$A$2:$A$201,0)+3),"")</f>
        <v/>
      </c>
      <c r="C153" t="str">
        <f>IF(TRIM(INDEX(VatLieu!$A:$A,155))="","",IF(COUNTIF(INDEX(VatLieu!$A:$A,4):INDEX(VatLieu!$A:$A,155),INDEX(VatLieu!$A:$A,155))=1,MAX($C$1:C152)+1,""))</f>
        <v/>
      </c>
      <c r="D153" t="str">
        <f>IFERROR(INDEX(VatLieu!$A:$A,MATCH(ROW()-1,$C$2:$C$201,0)+3),"")</f>
        <v/>
      </c>
      <c r="E153" t="str">
        <f>IF(TRIM(INDEX(CongDoan!$A:$A,155))="","",IF(COUNTIF(INDEX(CongDoan!$A:$A,4):INDEX(CongDoan!$A:$A,155),INDEX(CongDoan!$A:$A,155))=1,MAX($E$1:E152)+1,""))</f>
        <v/>
      </c>
      <c r="F153" t="str">
        <f>IFERROR(INDEX(CongDoan!$A:$A,MATCH(ROW()-1,$E$2:$E$197,0)+3),"")</f>
        <v/>
      </c>
    </row>
    <row r="154">
      <c r="A154" t="str">
        <f>IF(TRIM(INDEX(DonGia!$A:$A,156))="","",IF(COUNTIF(INDEX(DonGia!$A:$A,4):INDEX(DonGia!$A:$A,156),INDEX(DonGia!$A:$A,156))=1,MAX($A$1:A153)+1,""))</f>
        <v/>
      </c>
      <c r="B154" t="str">
        <f>IFERROR(INDEX(DonGia!$A:$A,MATCH(ROW()-1,$A$2:$A$201,0)+3),"")</f>
        <v/>
      </c>
      <c r="C154" t="str">
        <f>IF(TRIM(INDEX(VatLieu!$A:$A,156))="","",IF(COUNTIF(INDEX(VatLieu!$A:$A,4):INDEX(VatLieu!$A:$A,156),INDEX(VatLieu!$A:$A,156))=1,MAX($C$1:C153)+1,""))</f>
        <v/>
      </c>
      <c r="D154" t="str">
        <f>IFERROR(INDEX(VatLieu!$A:$A,MATCH(ROW()-1,$C$2:$C$201,0)+3),"")</f>
        <v/>
      </c>
      <c r="E154" t="str">
        <f>IF(TRIM(INDEX(CongDoan!$A:$A,156))="","",IF(COUNTIF(INDEX(CongDoan!$A:$A,4):INDEX(CongDoan!$A:$A,156),INDEX(CongDoan!$A:$A,156))=1,MAX($E$1:E153)+1,""))</f>
        <v/>
      </c>
      <c r="F154" t="str">
        <f>IFERROR(INDEX(CongDoan!$A:$A,MATCH(ROW()-1,$E$2:$E$197,0)+3),"")</f>
        <v/>
      </c>
    </row>
    <row r="155">
      <c r="A155" t="str">
        <f>IF(TRIM(INDEX(DonGia!$A:$A,157))="","",IF(COUNTIF(INDEX(DonGia!$A:$A,4):INDEX(DonGia!$A:$A,157),INDEX(DonGia!$A:$A,157))=1,MAX($A$1:A154)+1,""))</f>
        <v/>
      </c>
      <c r="B155" t="str">
        <f>IFERROR(INDEX(DonGia!$A:$A,MATCH(ROW()-1,$A$2:$A$201,0)+3),"")</f>
        <v/>
      </c>
      <c r="C155" t="str">
        <f>IF(TRIM(INDEX(VatLieu!$A:$A,157))="","",IF(COUNTIF(INDEX(VatLieu!$A:$A,4):INDEX(VatLieu!$A:$A,157),INDEX(VatLieu!$A:$A,157))=1,MAX($C$1:C154)+1,""))</f>
        <v/>
      </c>
      <c r="D155" t="str">
        <f>IFERROR(INDEX(VatLieu!$A:$A,MATCH(ROW()-1,$C$2:$C$201,0)+3),"")</f>
        <v/>
      </c>
      <c r="E155" t="str">
        <f>IF(TRIM(INDEX(CongDoan!$A:$A,157))="","",IF(COUNTIF(INDEX(CongDoan!$A:$A,4):INDEX(CongDoan!$A:$A,157),INDEX(CongDoan!$A:$A,157))=1,MAX($E$1:E154)+1,""))</f>
        <v/>
      </c>
      <c r="F155" t="str">
        <f>IFERROR(INDEX(CongDoan!$A:$A,MATCH(ROW()-1,$E$2:$E$197,0)+3),"")</f>
        <v/>
      </c>
    </row>
    <row r="156">
      <c r="A156" t="str">
        <f>IF(TRIM(INDEX(DonGia!$A:$A,158))="","",IF(COUNTIF(INDEX(DonGia!$A:$A,4):INDEX(DonGia!$A:$A,158),INDEX(DonGia!$A:$A,158))=1,MAX($A$1:A155)+1,""))</f>
        <v/>
      </c>
      <c r="B156" t="str">
        <f>IFERROR(INDEX(DonGia!$A:$A,MATCH(ROW()-1,$A$2:$A$201,0)+3),"")</f>
        <v/>
      </c>
      <c r="C156" t="str">
        <f>IF(TRIM(INDEX(VatLieu!$A:$A,158))="","",IF(COUNTIF(INDEX(VatLieu!$A:$A,4):INDEX(VatLieu!$A:$A,158),INDEX(VatLieu!$A:$A,158))=1,MAX($C$1:C155)+1,""))</f>
        <v/>
      </c>
      <c r="D156" t="str">
        <f>IFERROR(INDEX(VatLieu!$A:$A,MATCH(ROW()-1,$C$2:$C$201,0)+3),"")</f>
        <v/>
      </c>
      <c r="E156" t="str">
        <f>IF(TRIM(INDEX(CongDoan!$A:$A,158))="","",IF(COUNTIF(INDEX(CongDoan!$A:$A,4):INDEX(CongDoan!$A:$A,158),INDEX(CongDoan!$A:$A,158))=1,MAX($E$1:E155)+1,""))</f>
        <v/>
      </c>
      <c r="F156" t="str">
        <f>IFERROR(INDEX(CongDoan!$A:$A,MATCH(ROW()-1,$E$2:$E$197,0)+3),"")</f>
        <v/>
      </c>
    </row>
    <row r="157">
      <c r="A157" t="str">
        <f>IF(TRIM(INDEX(DonGia!$A:$A,159))="","",IF(COUNTIF(INDEX(DonGia!$A:$A,4):INDEX(DonGia!$A:$A,159),INDEX(DonGia!$A:$A,159))=1,MAX($A$1:A156)+1,""))</f>
        <v/>
      </c>
      <c r="B157" t="str">
        <f>IFERROR(INDEX(DonGia!$A:$A,MATCH(ROW()-1,$A$2:$A$201,0)+3),"")</f>
        <v/>
      </c>
      <c r="C157" t="str">
        <f>IF(TRIM(INDEX(VatLieu!$A:$A,159))="","",IF(COUNTIF(INDEX(VatLieu!$A:$A,4):INDEX(VatLieu!$A:$A,159),INDEX(VatLieu!$A:$A,159))=1,MAX($C$1:C156)+1,""))</f>
        <v/>
      </c>
      <c r="D157" t="str">
        <f>IFERROR(INDEX(VatLieu!$A:$A,MATCH(ROW()-1,$C$2:$C$201,0)+3),"")</f>
        <v/>
      </c>
      <c r="E157" t="str">
        <f>IF(TRIM(INDEX(CongDoan!$A:$A,159))="","",IF(COUNTIF(INDEX(CongDoan!$A:$A,4):INDEX(CongDoan!$A:$A,159),INDEX(CongDoan!$A:$A,159))=1,MAX($E$1:E156)+1,""))</f>
        <v/>
      </c>
      <c r="F157" t="str">
        <f>IFERROR(INDEX(CongDoan!$A:$A,MATCH(ROW()-1,$E$2:$E$197,0)+3),"")</f>
        <v/>
      </c>
    </row>
    <row r="158">
      <c r="A158" t="str">
        <f>IF(TRIM(INDEX(DonGia!$A:$A,160))="","",IF(COUNTIF(INDEX(DonGia!$A:$A,4):INDEX(DonGia!$A:$A,160),INDEX(DonGia!$A:$A,160))=1,MAX($A$1:A157)+1,""))</f>
        <v/>
      </c>
      <c r="B158" t="str">
        <f>IFERROR(INDEX(DonGia!$A:$A,MATCH(ROW()-1,$A$2:$A$201,0)+3),"")</f>
        <v/>
      </c>
      <c r="C158" t="str">
        <f>IF(TRIM(INDEX(VatLieu!$A:$A,160))="","",IF(COUNTIF(INDEX(VatLieu!$A:$A,4):INDEX(VatLieu!$A:$A,160),INDEX(VatLieu!$A:$A,160))=1,MAX($C$1:C157)+1,""))</f>
        <v/>
      </c>
      <c r="D158" t="str">
        <f>IFERROR(INDEX(VatLieu!$A:$A,MATCH(ROW()-1,$C$2:$C$201,0)+3),"")</f>
        <v/>
      </c>
      <c r="E158" t="str">
        <f>IF(TRIM(INDEX(CongDoan!$A:$A,160))="","",IF(COUNTIF(INDEX(CongDoan!$A:$A,4):INDEX(CongDoan!$A:$A,160),INDEX(CongDoan!$A:$A,160))=1,MAX($E$1:E157)+1,""))</f>
        <v/>
      </c>
      <c r="F158" t="str">
        <f>IFERROR(INDEX(CongDoan!$A:$A,MATCH(ROW()-1,$E$2:$E$197,0)+3),"")</f>
        <v/>
      </c>
    </row>
    <row r="159">
      <c r="A159" t="str">
        <f>IF(TRIM(INDEX(DonGia!$A:$A,161))="","",IF(COUNTIF(INDEX(DonGia!$A:$A,4):INDEX(DonGia!$A:$A,161),INDEX(DonGia!$A:$A,161))=1,MAX($A$1:A158)+1,""))</f>
        <v/>
      </c>
      <c r="B159" t="str">
        <f>IFERROR(INDEX(DonGia!$A:$A,MATCH(ROW()-1,$A$2:$A$201,0)+3),"")</f>
        <v/>
      </c>
      <c r="C159" t="str">
        <f>IF(TRIM(INDEX(VatLieu!$A:$A,161))="","",IF(COUNTIF(INDEX(VatLieu!$A:$A,4):INDEX(VatLieu!$A:$A,161),INDEX(VatLieu!$A:$A,161))=1,MAX($C$1:C158)+1,""))</f>
        <v/>
      </c>
      <c r="D159" t="str">
        <f>IFERROR(INDEX(VatLieu!$A:$A,MATCH(ROW()-1,$C$2:$C$201,0)+3),"")</f>
        <v/>
      </c>
      <c r="E159" t="str">
        <f>IF(TRIM(INDEX(CongDoan!$A:$A,161))="","",IF(COUNTIF(INDEX(CongDoan!$A:$A,4):INDEX(CongDoan!$A:$A,161),INDEX(CongDoan!$A:$A,161))=1,MAX($E$1:E158)+1,""))</f>
        <v/>
      </c>
      <c r="F159" t="str">
        <f>IFERROR(INDEX(CongDoan!$A:$A,MATCH(ROW()-1,$E$2:$E$197,0)+3),"")</f>
        <v/>
      </c>
    </row>
    <row r="160">
      <c r="A160" t="str">
        <f>IF(TRIM(INDEX(DonGia!$A:$A,162))="","",IF(COUNTIF(INDEX(DonGia!$A:$A,4):INDEX(DonGia!$A:$A,162),INDEX(DonGia!$A:$A,162))=1,MAX($A$1:A159)+1,""))</f>
        <v/>
      </c>
      <c r="B160" t="str">
        <f>IFERROR(INDEX(DonGia!$A:$A,MATCH(ROW()-1,$A$2:$A$201,0)+3),"")</f>
        <v/>
      </c>
      <c r="C160" t="str">
        <f>IF(TRIM(INDEX(VatLieu!$A:$A,162))="","",IF(COUNTIF(INDEX(VatLieu!$A:$A,4):INDEX(VatLieu!$A:$A,162),INDEX(VatLieu!$A:$A,162))=1,MAX($C$1:C159)+1,""))</f>
        <v/>
      </c>
      <c r="D160" t="str">
        <f>IFERROR(INDEX(VatLieu!$A:$A,MATCH(ROW()-1,$C$2:$C$201,0)+3),"")</f>
        <v/>
      </c>
      <c r="E160" t="str">
        <f>IF(TRIM(INDEX(CongDoan!$A:$A,162))="","",IF(COUNTIF(INDEX(CongDoan!$A:$A,4):INDEX(CongDoan!$A:$A,162),INDEX(CongDoan!$A:$A,162))=1,MAX($E$1:E159)+1,""))</f>
        <v/>
      </c>
      <c r="F160" t="str">
        <f>IFERROR(INDEX(CongDoan!$A:$A,MATCH(ROW()-1,$E$2:$E$197,0)+3),"")</f>
        <v/>
      </c>
    </row>
    <row r="161">
      <c r="A161" t="str">
        <f>IF(TRIM(INDEX(DonGia!$A:$A,163))="","",IF(COUNTIF(INDEX(DonGia!$A:$A,4):INDEX(DonGia!$A:$A,163),INDEX(DonGia!$A:$A,163))=1,MAX($A$1:A160)+1,""))</f>
        <v/>
      </c>
      <c r="B161" t="str">
        <f>IFERROR(INDEX(DonGia!$A:$A,MATCH(ROW()-1,$A$2:$A$201,0)+3),"")</f>
        <v/>
      </c>
      <c r="C161" t="str">
        <f>IF(TRIM(INDEX(VatLieu!$A:$A,163))="","",IF(COUNTIF(INDEX(VatLieu!$A:$A,4):INDEX(VatLieu!$A:$A,163),INDEX(VatLieu!$A:$A,163))=1,MAX($C$1:C160)+1,""))</f>
        <v/>
      </c>
      <c r="D161" t="str">
        <f>IFERROR(INDEX(VatLieu!$A:$A,MATCH(ROW()-1,$C$2:$C$201,0)+3),"")</f>
        <v/>
      </c>
      <c r="E161" t="str">
        <f>IF(TRIM(INDEX(CongDoan!$A:$A,163))="","",IF(COUNTIF(INDEX(CongDoan!$A:$A,4):INDEX(CongDoan!$A:$A,163),INDEX(CongDoan!$A:$A,163))=1,MAX($E$1:E160)+1,""))</f>
        <v/>
      </c>
      <c r="F161" t="str">
        <f>IFERROR(INDEX(CongDoan!$A:$A,MATCH(ROW()-1,$E$2:$E$197,0)+3),"")</f>
        <v/>
      </c>
    </row>
    <row r="162">
      <c r="A162" t="str">
        <f>IF(TRIM(INDEX(DonGia!$A:$A,164))="","",IF(COUNTIF(INDEX(DonGia!$A:$A,4):INDEX(DonGia!$A:$A,164),INDEX(DonGia!$A:$A,164))=1,MAX($A$1:A161)+1,""))</f>
        <v/>
      </c>
      <c r="B162" t="str">
        <f>IFERROR(INDEX(DonGia!$A:$A,MATCH(ROW()-1,$A$2:$A$201,0)+3),"")</f>
        <v/>
      </c>
      <c r="C162" t="str">
        <f>IF(TRIM(INDEX(VatLieu!$A:$A,164))="","",IF(COUNTIF(INDEX(VatLieu!$A:$A,4):INDEX(VatLieu!$A:$A,164),INDEX(VatLieu!$A:$A,164))=1,MAX($C$1:C161)+1,""))</f>
        <v/>
      </c>
      <c r="D162" t="str">
        <f>IFERROR(INDEX(VatLieu!$A:$A,MATCH(ROW()-1,$C$2:$C$201,0)+3),"")</f>
        <v/>
      </c>
      <c r="E162" t="str">
        <f>IF(TRIM(INDEX(CongDoan!$A:$A,164))="","",IF(COUNTIF(INDEX(CongDoan!$A:$A,4):INDEX(CongDoan!$A:$A,164),INDEX(CongDoan!$A:$A,164))=1,MAX($E$1:E161)+1,""))</f>
        <v/>
      </c>
      <c r="F162" t="str">
        <f>IFERROR(INDEX(CongDoan!$A:$A,MATCH(ROW()-1,$E$2:$E$197,0)+3),"")</f>
        <v/>
      </c>
    </row>
    <row r="163">
      <c r="A163" t="str">
        <f>IF(TRIM(INDEX(DonGia!$A:$A,165))="","",IF(COUNTIF(INDEX(DonGia!$A:$A,4):INDEX(DonGia!$A:$A,165),INDEX(DonGia!$A:$A,165))=1,MAX($A$1:A162)+1,""))</f>
        <v/>
      </c>
      <c r="B163" t="str">
        <f>IFERROR(INDEX(DonGia!$A:$A,MATCH(ROW()-1,$A$2:$A$201,0)+3),"")</f>
        <v/>
      </c>
      <c r="C163" t="str">
        <f>IF(TRIM(INDEX(VatLieu!$A:$A,165))="","",IF(COUNTIF(INDEX(VatLieu!$A:$A,4):INDEX(VatLieu!$A:$A,165),INDEX(VatLieu!$A:$A,165))=1,MAX($C$1:C162)+1,""))</f>
        <v/>
      </c>
      <c r="D163" t="str">
        <f>IFERROR(INDEX(VatLieu!$A:$A,MATCH(ROW()-1,$C$2:$C$201,0)+3),"")</f>
        <v/>
      </c>
      <c r="E163" t="str">
        <f>IF(TRIM(INDEX(CongDoan!$A:$A,165))="","",IF(COUNTIF(INDEX(CongDoan!$A:$A,4):INDEX(CongDoan!$A:$A,165),INDEX(CongDoan!$A:$A,165))=1,MAX($E$1:E162)+1,""))</f>
        <v/>
      </c>
      <c r="F163" t="str">
        <f>IFERROR(INDEX(CongDoan!$A:$A,MATCH(ROW()-1,$E$2:$E$197,0)+3),"")</f>
        <v/>
      </c>
    </row>
    <row r="164">
      <c r="A164" t="str">
        <f>IF(TRIM(INDEX(DonGia!$A:$A,166))="","",IF(COUNTIF(INDEX(DonGia!$A:$A,4):INDEX(DonGia!$A:$A,166),INDEX(DonGia!$A:$A,166))=1,MAX($A$1:A163)+1,""))</f>
        <v/>
      </c>
      <c r="B164" t="str">
        <f>IFERROR(INDEX(DonGia!$A:$A,MATCH(ROW()-1,$A$2:$A$201,0)+3),"")</f>
        <v/>
      </c>
      <c r="C164" t="str">
        <f>IF(TRIM(INDEX(VatLieu!$A:$A,166))="","",IF(COUNTIF(INDEX(VatLieu!$A:$A,4):INDEX(VatLieu!$A:$A,166),INDEX(VatLieu!$A:$A,166))=1,MAX($C$1:C163)+1,""))</f>
        <v/>
      </c>
      <c r="D164" t="str">
        <f>IFERROR(INDEX(VatLieu!$A:$A,MATCH(ROW()-1,$C$2:$C$201,0)+3),"")</f>
        <v/>
      </c>
      <c r="E164" t="str">
        <f>IF(TRIM(INDEX(CongDoan!$A:$A,166))="","",IF(COUNTIF(INDEX(CongDoan!$A:$A,4):INDEX(CongDoan!$A:$A,166),INDEX(CongDoan!$A:$A,166))=1,MAX($E$1:E163)+1,""))</f>
        <v/>
      </c>
      <c r="F164" t="str">
        <f>IFERROR(INDEX(CongDoan!$A:$A,MATCH(ROW()-1,$E$2:$E$197,0)+3),"")</f>
        <v/>
      </c>
    </row>
    <row r="165">
      <c r="A165" t="str">
        <f>IF(TRIM(INDEX(DonGia!$A:$A,167))="","",IF(COUNTIF(INDEX(DonGia!$A:$A,4):INDEX(DonGia!$A:$A,167),INDEX(DonGia!$A:$A,167))=1,MAX($A$1:A164)+1,""))</f>
        <v/>
      </c>
      <c r="B165" t="str">
        <f>IFERROR(INDEX(DonGia!$A:$A,MATCH(ROW()-1,$A$2:$A$201,0)+3),"")</f>
        <v/>
      </c>
      <c r="C165" t="str">
        <f>IF(TRIM(INDEX(VatLieu!$A:$A,167))="","",IF(COUNTIF(INDEX(VatLieu!$A:$A,4):INDEX(VatLieu!$A:$A,167),INDEX(VatLieu!$A:$A,167))=1,MAX($C$1:C164)+1,""))</f>
        <v/>
      </c>
      <c r="D165" t="str">
        <f>IFERROR(INDEX(VatLieu!$A:$A,MATCH(ROW()-1,$C$2:$C$201,0)+3),"")</f>
        <v/>
      </c>
      <c r="E165" t="str">
        <f>IF(TRIM(INDEX(CongDoan!$A:$A,167))="","",IF(COUNTIF(INDEX(CongDoan!$A:$A,4):INDEX(CongDoan!$A:$A,167),INDEX(CongDoan!$A:$A,167))=1,MAX($E$1:E164)+1,""))</f>
        <v/>
      </c>
      <c r="F165" t="str">
        <f>IFERROR(INDEX(CongDoan!$A:$A,MATCH(ROW()-1,$E$2:$E$197,0)+3),"")</f>
        <v/>
      </c>
    </row>
    <row r="166">
      <c r="A166" t="str">
        <f>IF(TRIM(INDEX(DonGia!$A:$A,168))="","",IF(COUNTIF(INDEX(DonGia!$A:$A,4):INDEX(DonGia!$A:$A,168),INDEX(DonGia!$A:$A,168))=1,MAX($A$1:A165)+1,""))</f>
        <v/>
      </c>
      <c r="B166" t="str">
        <f>IFERROR(INDEX(DonGia!$A:$A,MATCH(ROW()-1,$A$2:$A$201,0)+3),"")</f>
        <v/>
      </c>
      <c r="C166" t="str">
        <f>IF(TRIM(INDEX(VatLieu!$A:$A,168))="","",IF(COUNTIF(INDEX(VatLieu!$A:$A,4):INDEX(VatLieu!$A:$A,168),INDEX(VatLieu!$A:$A,168))=1,MAX($C$1:C165)+1,""))</f>
        <v/>
      </c>
      <c r="D166" t="str">
        <f>IFERROR(INDEX(VatLieu!$A:$A,MATCH(ROW()-1,$C$2:$C$201,0)+3),"")</f>
        <v/>
      </c>
      <c r="E166" t="str">
        <f>IF(TRIM(INDEX(CongDoan!$A:$A,168))="","",IF(COUNTIF(INDEX(CongDoan!$A:$A,4):INDEX(CongDoan!$A:$A,168),INDEX(CongDoan!$A:$A,168))=1,MAX($E$1:E165)+1,""))</f>
        <v/>
      </c>
      <c r="F166" t="str">
        <f>IFERROR(INDEX(CongDoan!$A:$A,MATCH(ROW()-1,$E$2:$E$197,0)+3),"")</f>
        <v/>
      </c>
    </row>
    <row r="167">
      <c r="A167" t="str">
        <f>IF(TRIM(INDEX(DonGia!$A:$A,169))="","",IF(COUNTIF(INDEX(DonGia!$A:$A,4):INDEX(DonGia!$A:$A,169),INDEX(DonGia!$A:$A,169))=1,MAX($A$1:A166)+1,""))</f>
        <v/>
      </c>
      <c r="B167" t="str">
        <f>IFERROR(INDEX(DonGia!$A:$A,MATCH(ROW()-1,$A$2:$A$201,0)+3),"")</f>
        <v/>
      </c>
      <c r="C167" t="str">
        <f>IF(TRIM(INDEX(VatLieu!$A:$A,169))="","",IF(COUNTIF(INDEX(VatLieu!$A:$A,4):INDEX(VatLieu!$A:$A,169),INDEX(VatLieu!$A:$A,169))=1,MAX($C$1:C166)+1,""))</f>
        <v/>
      </c>
      <c r="D167" t="str">
        <f>IFERROR(INDEX(VatLieu!$A:$A,MATCH(ROW()-1,$C$2:$C$201,0)+3),"")</f>
        <v/>
      </c>
      <c r="E167" t="str">
        <f>IF(TRIM(INDEX(CongDoan!$A:$A,169))="","",IF(COUNTIF(INDEX(CongDoan!$A:$A,4):INDEX(CongDoan!$A:$A,169),INDEX(CongDoan!$A:$A,169))=1,MAX($E$1:E166)+1,""))</f>
        <v/>
      </c>
      <c r="F167" t="str">
        <f>IFERROR(INDEX(CongDoan!$A:$A,MATCH(ROW()-1,$E$2:$E$197,0)+3),"")</f>
        <v/>
      </c>
    </row>
    <row r="168">
      <c r="A168" t="str">
        <f>IF(TRIM(INDEX(DonGia!$A:$A,170))="","",IF(COUNTIF(INDEX(DonGia!$A:$A,4):INDEX(DonGia!$A:$A,170),INDEX(DonGia!$A:$A,170))=1,MAX($A$1:A167)+1,""))</f>
        <v/>
      </c>
      <c r="B168" t="str">
        <f>IFERROR(INDEX(DonGia!$A:$A,MATCH(ROW()-1,$A$2:$A$201,0)+3),"")</f>
        <v/>
      </c>
      <c r="C168" t="str">
        <f>IF(TRIM(INDEX(VatLieu!$A:$A,170))="","",IF(COUNTIF(INDEX(VatLieu!$A:$A,4):INDEX(VatLieu!$A:$A,170),INDEX(VatLieu!$A:$A,170))=1,MAX($C$1:C167)+1,""))</f>
        <v/>
      </c>
      <c r="D168" t="str">
        <f>IFERROR(INDEX(VatLieu!$A:$A,MATCH(ROW()-1,$C$2:$C$201,0)+3),"")</f>
        <v/>
      </c>
      <c r="E168" t="str">
        <f>IF(TRIM(INDEX(CongDoan!$A:$A,170))="","",IF(COUNTIF(INDEX(CongDoan!$A:$A,4):INDEX(CongDoan!$A:$A,170),INDEX(CongDoan!$A:$A,170))=1,MAX($E$1:E167)+1,""))</f>
        <v/>
      </c>
      <c r="F168" t="str">
        <f>IFERROR(INDEX(CongDoan!$A:$A,MATCH(ROW()-1,$E$2:$E$197,0)+3),"")</f>
        <v/>
      </c>
    </row>
    <row r="169">
      <c r="A169" t="str">
        <f>IF(TRIM(INDEX(DonGia!$A:$A,171))="","",IF(COUNTIF(INDEX(DonGia!$A:$A,4):INDEX(DonGia!$A:$A,171),INDEX(DonGia!$A:$A,171))=1,MAX($A$1:A168)+1,""))</f>
        <v/>
      </c>
      <c r="B169" t="str">
        <f>IFERROR(INDEX(DonGia!$A:$A,MATCH(ROW()-1,$A$2:$A$201,0)+3),"")</f>
        <v/>
      </c>
      <c r="C169" t="str">
        <f>IF(TRIM(INDEX(VatLieu!$A:$A,171))="","",IF(COUNTIF(INDEX(VatLieu!$A:$A,4):INDEX(VatLieu!$A:$A,171),INDEX(VatLieu!$A:$A,171))=1,MAX($C$1:C168)+1,""))</f>
        <v/>
      </c>
      <c r="D169" t="str">
        <f>IFERROR(INDEX(VatLieu!$A:$A,MATCH(ROW()-1,$C$2:$C$201,0)+3),"")</f>
        <v/>
      </c>
      <c r="E169" t="str">
        <f>IF(TRIM(INDEX(CongDoan!$A:$A,171))="","",IF(COUNTIF(INDEX(CongDoan!$A:$A,4):INDEX(CongDoan!$A:$A,171),INDEX(CongDoan!$A:$A,171))=1,MAX($E$1:E168)+1,""))</f>
        <v/>
      </c>
      <c r="F169" t="str">
        <f>IFERROR(INDEX(CongDoan!$A:$A,MATCH(ROW()-1,$E$2:$E$197,0)+3),"")</f>
        <v/>
      </c>
    </row>
    <row r="170">
      <c r="A170" t="str">
        <f>IF(TRIM(INDEX(DonGia!$A:$A,172))="","",IF(COUNTIF(INDEX(DonGia!$A:$A,4):INDEX(DonGia!$A:$A,172),INDEX(DonGia!$A:$A,172))=1,MAX($A$1:A169)+1,""))</f>
        <v/>
      </c>
      <c r="B170" t="str">
        <f>IFERROR(INDEX(DonGia!$A:$A,MATCH(ROW()-1,$A$2:$A$201,0)+3),"")</f>
        <v/>
      </c>
      <c r="C170" t="str">
        <f>IF(TRIM(INDEX(VatLieu!$A:$A,172))="","",IF(COUNTIF(INDEX(VatLieu!$A:$A,4):INDEX(VatLieu!$A:$A,172),INDEX(VatLieu!$A:$A,172))=1,MAX($C$1:C169)+1,""))</f>
        <v/>
      </c>
      <c r="D170" t="str">
        <f>IFERROR(INDEX(VatLieu!$A:$A,MATCH(ROW()-1,$C$2:$C$201,0)+3),"")</f>
        <v/>
      </c>
      <c r="E170" t="str">
        <f>IF(TRIM(INDEX(CongDoan!$A:$A,172))="","",IF(COUNTIF(INDEX(CongDoan!$A:$A,4):INDEX(CongDoan!$A:$A,172),INDEX(CongDoan!$A:$A,172))=1,MAX($E$1:E169)+1,""))</f>
        <v/>
      </c>
      <c r="F170" t="str">
        <f>IFERROR(INDEX(CongDoan!$A:$A,MATCH(ROW()-1,$E$2:$E$197,0)+3),"")</f>
        <v/>
      </c>
    </row>
    <row r="171">
      <c r="A171" t="str">
        <f>IF(TRIM(INDEX(DonGia!$A:$A,173))="","",IF(COUNTIF(INDEX(DonGia!$A:$A,4):INDEX(DonGia!$A:$A,173),INDEX(DonGia!$A:$A,173))=1,MAX($A$1:A170)+1,""))</f>
        <v/>
      </c>
      <c r="B171" t="str">
        <f>IFERROR(INDEX(DonGia!$A:$A,MATCH(ROW()-1,$A$2:$A$201,0)+3),"")</f>
        <v/>
      </c>
      <c r="C171" t="str">
        <f>IF(TRIM(INDEX(VatLieu!$A:$A,173))="","",IF(COUNTIF(INDEX(VatLieu!$A:$A,4):INDEX(VatLieu!$A:$A,173),INDEX(VatLieu!$A:$A,173))=1,MAX($C$1:C170)+1,""))</f>
        <v/>
      </c>
      <c r="D171" t="str">
        <f>IFERROR(INDEX(VatLieu!$A:$A,MATCH(ROW()-1,$C$2:$C$201,0)+3),"")</f>
        <v/>
      </c>
      <c r="E171" t="str">
        <f>IF(TRIM(INDEX(CongDoan!$A:$A,173))="","",IF(COUNTIF(INDEX(CongDoan!$A:$A,4):INDEX(CongDoan!$A:$A,173),INDEX(CongDoan!$A:$A,173))=1,MAX($E$1:E170)+1,""))</f>
        <v/>
      </c>
      <c r="F171" t="str">
        <f>IFERROR(INDEX(CongDoan!$A:$A,MATCH(ROW()-1,$E$2:$E$197,0)+3),"")</f>
        <v/>
      </c>
    </row>
    <row r="172">
      <c r="A172" t="str">
        <f>IF(TRIM(INDEX(DonGia!$A:$A,174))="","",IF(COUNTIF(INDEX(DonGia!$A:$A,4):INDEX(DonGia!$A:$A,174),INDEX(DonGia!$A:$A,174))=1,MAX($A$1:A171)+1,""))</f>
        <v/>
      </c>
      <c r="B172" t="str">
        <f>IFERROR(INDEX(DonGia!$A:$A,MATCH(ROW()-1,$A$2:$A$201,0)+3),"")</f>
        <v/>
      </c>
      <c r="C172" t="str">
        <f>IF(TRIM(INDEX(VatLieu!$A:$A,174))="","",IF(COUNTIF(INDEX(VatLieu!$A:$A,4):INDEX(VatLieu!$A:$A,174),INDEX(VatLieu!$A:$A,174))=1,MAX($C$1:C171)+1,""))</f>
        <v/>
      </c>
      <c r="D172" t="str">
        <f>IFERROR(INDEX(VatLieu!$A:$A,MATCH(ROW()-1,$C$2:$C$201,0)+3),"")</f>
        <v/>
      </c>
      <c r="E172" t="str">
        <f>IF(TRIM(INDEX(CongDoan!$A:$A,174))="","",IF(COUNTIF(INDEX(CongDoan!$A:$A,4):INDEX(CongDoan!$A:$A,174),INDEX(CongDoan!$A:$A,174))=1,MAX($E$1:E171)+1,""))</f>
        <v/>
      </c>
      <c r="F172" t="str">
        <f>IFERROR(INDEX(CongDoan!$A:$A,MATCH(ROW()-1,$E$2:$E$197,0)+3),"")</f>
        <v/>
      </c>
    </row>
    <row r="173">
      <c r="A173" t="str">
        <f>IF(TRIM(INDEX(DonGia!$A:$A,175))="","",IF(COUNTIF(INDEX(DonGia!$A:$A,4):INDEX(DonGia!$A:$A,175),INDEX(DonGia!$A:$A,175))=1,MAX($A$1:A172)+1,""))</f>
        <v/>
      </c>
      <c r="B173" t="str">
        <f>IFERROR(INDEX(DonGia!$A:$A,MATCH(ROW()-1,$A$2:$A$201,0)+3),"")</f>
        <v/>
      </c>
      <c r="C173" t="str">
        <f>IF(TRIM(INDEX(VatLieu!$A:$A,175))="","",IF(COUNTIF(INDEX(VatLieu!$A:$A,4):INDEX(VatLieu!$A:$A,175),INDEX(VatLieu!$A:$A,175))=1,MAX($C$1:C172)+1,""))</f>
        <v/>
      </c>
      <c r="D173" t="str">
        <f>IFERROR(INDEX(VatLieu!$A:$A,MATCH(ROW()-1,$C$2:$C$201,0)+3),"")</f>
        <v/>
      </c>
      <c r="E173" t="str">
        <f>IF(TRIM(INDEX(CongDoan!$A:$A,175))="","",IF(COUNTIF(INDEX(CongDoan!$A:$A,4):INDEX(CongDoan!$A:$A,175),INDEX(CongDoan!$A:$A,175))=1,MAX($E$1:E172)+1,""))</f>
        <v/>
      </c>
      <c r="F173" t="str">
        <f>IFERROR(INDEX(CongDoan!$A:$A,MATCH(ROW()-1,$E$2:$E$197,0)+3),"")</f>
        <v/>
      </c>
    </row>
    <row r="174">
      <c r="A174" t="str">
        <f>IF(TRIM(INDEX(DonGia!$A:$A,176))="","",IF(COUNTIF(INDEX(DonGia!$A:$A,4):INDEX(DonGia!$A:$A,176),INDEX(DonGia!$A:$A,176))=1,MAX($A$1:A173)+1,""))</f>
        <v/>
      </c>
      <c r="B174" t="str">
        <f>IFERROR(INDEX(DonGia!$A:$A,MATCH(ROW()-1,$A$2:$A$201,0)+3),"")</f>
        <v/>
      </c>
      <c r="C174" t="str">
        <f>IF(TRIM(INDEX(VatLieu!$A:$A,176))="","",IF(COUNTIF(INDEX(VatLieu!$A:$A,4):INDEX(VatLieu!$A:$A,176),INDEX(VatLieu!$A:$A,176))=1,MAX($C$1:C173)+1,""))</f>
        <v/>
      </c>
      <c r="D174" t="str">
        <f>IFERROR(INDEX(VatLieu!$A:$A,MATCH(ROW()-1,$C$2:$C$201,0)+3),"")</f>
        <v/>
      </c>
      <c r="E174" t="str">
        <f>IF(TRIM(INDEX(CongDoan!$A:$A,176))="","",IF(COUNTIF(INDEX(CongDoan!$A:$A,4):INDEX(CongDoan!$A:$A,176),INDEX(CongDoan!$A:$A,176))=1,MAX($E$1:E173)+1,""))</f>
        <v/>
      </c>
      <c r="F174" t="str">
        <f>IFERROR(INDEX(CongDoan!$A:$A,MATCH(ROW()-1,$E$2:$E$197,0)+3),"")</f>
        <v/>
      </c>
    </row>
    <row r="175">
      <c r="A175" t="str">
        <f>IF(TRIM(INDEX(DonGia!$A:$A,177))="","",IF(COUNTIF(INDEX(DonGia!$A:$A,4):INDEX(DonGia!$A:$A,177),INDEX(DonGia!$A:$A,177))=1,MAX($A$1:A174)+1,""))</f>
        <v/>
      </c>
      <c r="B175" t="str">
        <f>IFERROR(INDEX(DonGia!$A:$A,MATCH(ROW()-1,$A$2:$A$201,0)+3),"")</f>
        <v/>
      </c>
      <c r="C175" t="str">
        <f>IF(TRIM(INDEX(VatLieu!$A:$A,177))="","",IF(COUNTIF(INDEX(VatLieu!$A:$A,4):INDEX(VatLieu!$A:$A,177),INDEX(VatLieu!$A:$A,177))=1,MAX($C$1:C174)+1,""))</f>
        <v/>
      </c>
      <c r="D175" t="str">
        <f>IFERROR(INDEX(VatLieu!$A:$A,MATCH(ROW()-1,$C$2:$C$201,0)+3),"")</f>
        <v/>
      </c>
      <c r="E175" t="str">
        <f>IF(TRIM(INDEX(CongDoan!$A:$A,177))="","",IF(COUNTIF(INDEX(CongDoan!$A:$A,4):INDEX(CongDoan!$A:$A,177),INDEX(CongDoan!$A:$A,177))=1,MAX($E$1:E174)+1,""))</f>
        <v/>
      </c>
      <c r="F175" t="str">
        <f>IFERROR(INDEX(CongDoan!$A:$A,MATCH(ROW()-1,$E$2:$E$197,0)+3),"")</f>
        <v/>
      </c>
    </row>
    <row r="176">
      <c r="A176" t="str">
        <f>IF(TRIM(INDEX(DonGia!$A:$A,178))="","",IF(COUNTIF(INDEX(DonGia!$A:$A,4):INDEX(DonGia!$A:$A,178),INDEX(DonGia!$A:$A,178))=1,MAX($A$1:A175)+1,""))</f>
        <v/>
      </c>
      <c r="B176" t="str">
        <f>IFERROR(INDEX(DonGia!$A:$A,MATCH(ROW()-1,$A$2:$A$201,0)+3),"")</f>
        <v/>
      </c>
      <c r="C176" t="str">
        <f>IF(TRIM(INDEX(VatLieu!$A:$A,178))="","",IF(COUNTIF(INDEX(VatLieu!$A:$A,4):INDEX(VatLieu!$A:$A,178),INDEX(VatLieu!$A:$A,178))=1,MAX($C$1:C175)+1,""))</f>
        <v/>
      </c>
      <c r="D176" t="str">
        <f>IFERROR(INDEX(VatLieu!$A:$A,MATCH(ROW()-1,$C$2:$C$201,0)+3),"")</f>
        <v/>
      </c>
      <c r="E176" t="str">
        <f>IF(TRIM(INDEX(CongDoan!$A:$A,178))="","",IF(COUNTIF(INDEX(CongDoan!$A:$A,4):INDEX(CongDoan!$A:$A,178),INDEX(CongDoan!$A:$A,178))=1,MAX($E$1:E175)+1,""))</f>
        <v/>
      </c>
      <c r="F176" t="str">
        <f>IFERROR(INDEX(CongDoan!$A:$A,MATCH(ROW()-1,$E$2:$E$197,0)+3),"")</f>
        <v/>
      </c>
    </row>
    <row r="177">
      <c r="A177" t="str">
        <f>IF(TRIM(INDEX(DonGia!$A:$A,179))="","",IF(COUNTIF(INDEX(DonGia!$A:$A,4):INDEX(DonGia!$A:$A,179),INDEX(DonGia!$A:$A,179))=1,MAX($A$1:A176)+1,""))</f>
        <v/>
      </c>
      <c r="B177" t="str">
        <f>IFERROR(INDEX(DonGia!$A:$A,MATCH(ROW()-1,$A$2:$A$201,0)+3),"")</f>
        <v/>
      </c>
      <c r="C177" t="str">
        <f>IF(TRIM(INDEX(VatLieu!$A:$A,179))="","",IF(COUNTIF(INDEX(VatLieu!$A:$A,4):INDEX(VatLieu!$A:$A,179),INDEX(VatLieu!$A:$A,179))=1,MAX($C$1:C176)+1,""))</f>
        <v/>
      </c>
      <c r="D177" t="str">
        <f>IFERROR(INDEX(VatLieu!$A:$A,MATCH(ROW()-1,$C$2:$C$201,0)+3),"")</f>
        <v/>
      </c>
      <c r="E177" t="str">
        <f>IF(TRIM(INDEX(CongDoan!$A:$A,179))="","",IF(COUNTIF(INDEX(CongDoan!$A:$A,4):INDEX(CongDoan!$A:$A,179),INDEX(CongDoan!$A:$A,179))=1,MAX($E$1:E176)+1,""))</f>
        <v/>
      </c>
      <c r="F177" t="str">
        <f>IFERROR(INDEX(CongDoan!$A:$A,MATCH(ROW()-1,$E$2:$E$197,0)+3),"")</f>
        <v/>
      </c>
    </row>
    <row r="178">
      <c r="A178" t="str">
        <f>IF(TRIM(INDEX(DonGia!$A:$A,180))="","",IF(COUNTIF(INDEX(DonGia!$A:$A,4):INDEX(DonGia!$A:$A,180),INDEX(DonGia!$A:$A,180))=1,MAX($A$1:A177)+1,""))</f>
        <v/>
      </c>
      <c r="B178" t="str">
        <f>IFERROR(INDEX(DonGia!$A:$A,MATCH(ROW()-1,$A$2:$A$201,0)+3),"")</f>
        <v/>
      </c>
      <c r="C178" t="str">
        <f>IF(TRIM(INDEX(VatLieu!$A:$A,180))="","",IF(COUNTIF(INDEX(VatLieu!$A:$A,4):INDEX(VatLieu!$A:$A,180),INDEX(VatLieu!$A:$A,180))=1,MAX($C$1:C177)+1,""))</f>
        <v/>
      </c>
      <c r="D178" t="str">
        <f>IFERROR(INDEX(VatLieu!$A:$A,MATCH(ROW()-1,$C$2:$C$201,0)+3),"")</f>
        <v/>
      </c>
      <c r="E178" t="str">
        <f>IF(TRIM(INDEX(CongDoan!$A:$A,180))="","",IF(COUNTIF(INDEX(CongDoan!$A:$A,4):INDEX(CongDoan!$A:$A,180),INDEX(CongDoan!$A:$A,180))=1,MAX($E$1:E177)+1,""))</f>
        <v/>
      </c>
      <c r="F178" t="str">
        <f>IFERROR(INDEX(CongDoan!$A:$A,MATCH(ROW()-1,$E$2:$E$197,0)+3),"")</f>
        <v/>
      </c>
    </row>
    <row r="179">
      <c r="A179" t="str">
        <f>IF(TRIM(INDEX(DonGia!$A:$A,181))="","",IF(COUNTIF(INDEX(DonGia!$A:$A,4):INDEX(DonGia!$A:$A,181),INDEX(DonGia!$A:$A,181))=1,MAX($A$1:A178)+1,""))</f>
        <v/>
      </c>
      <c r="B179" t="str">
        <f>IFERROR(INDEX(DonGia!$A:$A,MATCH(ROW()-1,$A$2:$A$201,0)+3),"")</f>
        <v/>
      </c>
      <c r="C179" t="str">
        <f>IF(TRIM(INDEX(VatLieu!$A:$A,181))="","",IF(COUNTIF(INDEX(VatLieu!$A:$A,4):INDEX(VatLieu!$A:$A,181),INDEX(VatLieu!$A:$A,181))=1,MAX($C$1:C178)+1,""))</f>
        <v/>
      </c>
      <c r="D179" t="str">
        <f>IFERROR(INDEX(VatLieu!$A:$A,MATCH(ROW()-1,$C$2:$C$201,0)+3),"")</f>
        <v/>
      </c>
      <c r="E179" t="str">
        <f>IF(TRIM(INDEX(CongDoan!$A:$A,181))="","",IF(COUNTIF(INDEX(CongDoan!$A:$A,4):INDEX(CongDoan!$A:$A,181),INDEX(CongDoan!$A:$A,181))=1,MAX($E$1:E178)+1,""))</f>
        <v/>
      </c>
      <c r="F179" t="str">
        <f>IFERROR(INDEX(CongDoan!$A:$A,MATCH(ROW()-1,$E$2:$E$197,0)+3),"")</f>
        <v/>
      </c>
    </row>
    <row r="180">
      <c r="A180" t="str">
        <f>IF(TRIM(INDEX(DonGia!$A:$A,182))="","",IF(COUNTIF(INDEX(DonGia!$A:$A,4):INDEX(DonGia!$A:$A,182),INDEX(DonGia!$A:$A,182))=1,MAX($A$1:A179)+1,""))</f>
        <v/>
      </c>
      <c r="B180" t="str">
        <f>IFERROR(INDEX(DonGia!$A:$A,MATCH(ROW()-1,$A$2:$A$201,0)+3),"")</f>
        <v/>
      </c>
      <c r="C180" t="str">
        <f>IF(TRIM(INDEX(VatLieu!$A:$A,182))="","",IF(COUNTIF(INDEX(VatLieu!$A:$A,4):INDEX(VatLieu!$A:$A,182),INDEX(VatLieu!$A:$A,182))=1,MAX($C$1:C179)+1,""))</f>
        <v/>
      </c>
      <c r="D180" t="str">
        <f>IFERROR(INDEX(VatLieu!$A:$A,MATCH(ROW()-1,$C$2:$C$201,0)+3),"")</f>
        <v/>
      </c>
      <c r="E180" t="str">
        <f>IF(TRIM(INDEX(CongDoan!$A:$A,182))="","",IF(COUNTIF(INDEX(CongDoan!$A:$A,4):INDEX(CongDoan!$A:$A,182),INDEX(CongDoan!$A:$A,182))=1,MAX($E$1:E179)+1,""))</f>
        <v/>
      </c>
      <c r="F180" t="str">
        <f>IFERROR(INDEX(CongDoan!$A:$A,MATCH(ROW()-1,$E$2:$E$197,0)+3),"")</f>
        <v/>
      </c>
    </row>
    <row r="181">
      <c r="A181" t="str">
        <f>IF(TRIM(INDEX(DonGia!$A:$A,183))="","",IF(COUNTIF(INDEX(DonGia!$A:$A,4):INDEX(DonGia!$A:$A,183),INDEX(DonGia!$A:$A,183))=1,MAX($A$1:A180)+1,""))</f>
        <v/>
      </c>
      <c r="B181" t="str">
        <f>IFERROR(INDEX(DonGia!$A:$A,MATCH(ROW()-1,$A$2:$A$201,0)+3),"")</f>
        <v/>
      </c>
      <c r="C181" t="str">
        <f>IF(TRIM(INDEX(VatLieu!$A:$A,183))="","",IF(COUNTIF(INDEX(VatLieu!$A:$A,4):INDEX(VatLieu!$A:$A,183),INDEX(VatLieu!$A:$A,183))=1,MAX($C$1:C180)+1,""))</f>
        <v/>
      </c>
      <c r="D181" t="str">
        <f>IFERROR(INDEX(VatLieu!$A:$A,MATCH(ROW()-1,$C$2:$C$201,0)+3),"")</f>
        <v/>
      </c>
      <c r="E181" t="str">
        <f>IF(TRIM(INDEX(CongDoan!$A:$A,183))="","",IF(COUNTIF(INDEX(CongDoan!$A:$A,4):INDEX(CongDoan!$A:$A,183),INDEX(CongDoan!$A:$A,183))=1,MAX($E$1:E180)+1,""))</f>
        <v/>
      </c>
      <c r="F181" t="str">
        <f>IFERROR(INDEX(CongDoan!$A:$A,MATCH(ROW()-1,$E$2:$E$197,0)+3),"")</f>
        <v/>
      </c>
    </row>
    <row r="182">
      <c r="A182" t="str">
        <f>IF(TRIM(INDEX(DonGia!$A:$A,184))="","",IF(COUNTIF(INDEX(DonGia!$A:$A,4):INDEX(DonGia!$A:$A,184),INDEX(DonGia!$A:$A,184))=1,MAX($A$1:A181)+1,""))</f>
        <v/>
      </c>
      <c r="B182" t="str">
        <f>IFERROR(INDEX(DonGia!$A:$A,MATCH(ROW()-1,$A$2:$A$201,0)+3),"")</f>
        <v/>
      </c>
      <c r="C182" t="str">
        <f>IF(TRIM(INDEX(VatLieu!$A:$A,184))="","",IF(COUNTIF(INDEX(VatLieu!$A:$A,4):INDEX(VatLieu!$A:$A,184),INDEX(VatLieu!$A:$A,184))=1,MAX($C$1:C181)+1,""))</f>
        <v/>
      </c>
      <c r="D182" t="str">
        <f>IFERROR(INDEX(VatLieu!$A:$A,MATCH(ROW()-1,$C$2:$C$201,0)+3),"")</f>
        <v/>
      </c>
      <c r="E182" t="str">
        <f>IF(TRIM(INDEX(CongDoan!$A:$A,184))="","",IF(COUNTIF(INDEX(CongDoan!$A:$A,4):INDEX(CongDoan!$A:$A,184),INDEX(CongDoan!$A:$A,184))=1,MAX($E$1:E181)+1,""))</f>
        <v/>
      </c>
      <c r="F182" t="str">
        <f>IFERROR(INDEX(CongDoan!$A:$A,MATCH(ROW()-1,$E$2:$E$197,0)+3),"")</f>
        <v/>
      </c>
    </row>
    <row r="183">
      <c r="A183" t="str">
        <f>IF(TRIM(INDEX(DonGia!$A:$A,185))="","",IF(COUNTIF(INDEX(DonGia!$A:$A,4):INDEX(DonGia!$A:$A,185),INDEX(DonGia!$A:$A,185))=1,MAX($A$1:A182)+1,""))</f>
        <v/>
      </c>
      <c r="B183" t="str">
        <f>IFERROR(INDEX(DonGia!$A:$A,MATCH(ROW()-1,$A$2:$A$201,0)+3),"")</f>
        <v/>
      </c>
      <c r="C183" t="str">
        <f>IF(TRIM(INDEX(VatLieu!$A:$A,185))="","",IF(COUNTIF(INDEX(VatLieu!$A:$A,4):INDEX(VatLieu!$A:$A,185),INDEX(VatLieu!$A:$A,185))=1,MAX($C$1:C182)+1,""))</f>
        <v/>
      </c>
      <c r="D183" t="str">
        <f>IFERROR(INDEX(VatLieu!$A:$A,MATCH(ROW()-1,$C$2:$C$201,0)+3),"")</f>
        <v/>
      </c>
      <c r="E183" t="str">
        <f>IF(TRIM(INDEX(CongDoan!$A:$A,185))="","",IF(COUNTIF(INDEX(CongDoan!$A:$A,4):INDEX(CongDoan!$A:$A,185),INDEX(CongDoan!$A:$A,185))=1,MAX($E$1:E182)+1,""))</f>
        <v/>
      </c>
      <c r="F183" t="str">
        <f>IFERROR(INDEX(CongDoan!$A:$A,MATCH(ROW()-1,$E$2:$E$197,0)+3),"")</f>
        <v/>
      </c>
    </row>
    <row r="184">
      <c r="A184" t="str">
        <f>IF(TRIM(INDEX(DonGia!$A:$A,186))="","",IF(COUNTIF(INDEX(DonGia!$A:$A,4):INDEX(DonGia!$A:$A,186),INDEX(DonGia!$A:$A,186))=1,MAX($A$1:A183)+1,""))</f>
        <v/>
      </c>
      <c r="B184" t="str">
        <f>IFERROR(INDEX(DonGia!$A:$A,MATCH(ROW()-1,$A$2:$A$201,0)+3),"")</f>
        <v/>
      </c>
      <c r="C184" t="str">
        <f>IF(TRIM(INDEX(VatLieu!$A:$A,186))="","",IF(COUNTIF(INDEX(VatLieu!$A:$A,4):INDEX(VatLieu!$A:$A,186),INDEX(VatLieu!$A:$A,186))=1,MAX($C$1:C183)+1,""))</f>
        <v/>
      </c>
      <c r="D184" t="str">
        <f>IFERROR(INDEX(VatLieu!$A:$A,MATCH(ROW()-1,$C$2:$C$201,0)+3),"")</f>
        <v/>
      </c>
      <c r="E184" t="str">
        <f>IF(TRIM(INDEX(CongDoan!$A:$A,186))="","",IF(COUNTIF(INDEX(CongDoan!$A:$A,4):INDEX(CongDoan!$A:$A,186),INDEX(CongDoan!$A:$A,186))=1,MAX($E$1:E183)+1,""))</f>
        <v/>
      </c>
      <c r="F184" t="str">
        <f>IFERROR(INDEX(CongDoan!$A:$A,MATCH(ROW()-1,$E$2:$E$197,0)+3),"")</f>
        <v/>
      </c>
    </row>
    <row r="185">
      <c r="A185" t="str">
        <f>IF(TRIM(INDEX(DonGia!$A:$A,187))="","",IF(COUNTIF(INDEX(DonGia!$A:$A,4):INDEX(DonGia!$A:$A,187),INDEX(DonGia!$A:$A,187))=1,MAX($A$1:A184)+1,""))</f>
        <v/>
      </c>
      <c r="B185" t="str">
        <f>IFERROR(INDEX(DonGia!$A:$A,MATCH(ROW()-1,$A$2:$A$201,0)+3),"")</f>
        <v/>
      </c>
      <c r="C185" t="str">
        <f>IF(TRIM(INDEX(VatLieu!$A:$A,187))="","",IF(COUNTIF(INDEX(VatLieu!$A:$A,4):INDEX(VatLieu!$A:$A,187),INDEX(VatLieu!$A:$A,187))=1,MAX($C$1:C184)+1,""))</f>
        <v/>
      </c>
      <c r="D185" t="str">
        <f>IFERROR(INDEX(VatLieu!$A:$A,MATCH(ROW()-1,$C$2:$C$201,0)+3),"")</f>
        <v/>
      </c>
      <c r="E185" t="str">
        <f>IF(TRIM(INDEX(CongDoan!$A:$A,187))="","",IF(COUNTIF(INDEX(CongDoan!$A:$A,4):INDEX(CongDoan!$A:$A,187),INDEX(CongDoan!$A:$A,187))=1,MAX($E$1:E184)+1,""))</f>
        <v/>
      </c>
      <c r="F185" t="str">
        <f>IFERROR(INDEX(CongDoan!$A:$A,MATCH(ROW()-1,$E$2:$E$197,0)+3),"")</f>
        <v/>
      </c>
    </row>
    <row r="186">
      <c r="A186" t="str">
        <f>IF(TRIM(INDEX(DonGia!$A:$A,188))="","",IF(COUNTIF(INDEX(DonGia!$A:$A,4):INDEX(DonGia!$A:$A,188),INDEX(DonGia!$A:$A,188))=1,MAX($A$1:A185)+1,""))</f>
        <v/>
      </c>
      <c r="B186" t="str">
        <f>IFERROR(INDEX(DonGia!$A:$A,MATCH(ROW()-1,$A$2:$A$201,0)+3),"")</f>
        <v/>
      </c>
      <c r="C186" t="str">
        <f>IF(TRIM(INDEX(VatLieu!$A:$A,188))="","",IF(COUNTIF(INDEX(VatLieu!$A:$A,4):INDEX(VatLieu!$A:$A,188),INDEX(VatLieu!$A:$A,188))=1,MAX($C$1:C185)+1,""))</f>
        <v/>
      </c>
      <c r="D186" t="str">
        <f>IFERROR(INDEX(VatLieu!$A:$A,MATCH(ROW()-1,$C$2:$C$201,0)+3),"")</f>
        <v/>
      </c>
      <c r="E186" t="str">
        <f>IF(TRIM(INDEX(CongDoan!$A:$A,188))="","",IF(COUNTIF(INDEX(CongDoan!$A:$A,4):INDEX(CongDoan!$A:$A,188),INDEX(CongDoan!$A:$A,188))=1,MAX($E$1:E185)+1,""))</f>
        <v/>
      </c>
      <c r="F186" t="str">
        <f>IFERROR(INDEX(CongDoan!$A:$A,MATCH(ROW()-1,$E$2:$E$197,0)+3),"")</f>
        <v/>
      </c>
    </row>
    <row r="187">
      <c r="A187" t="str">
        <f>IF(TRIM(INDEX(DonGia!$A:$A,189))="","",IF(COUNTIF(INDEX(DonGia!$A:$A,4):INDEX(DonGia!$A:$A,189),INDEX(DonGia!$A:$A,189))=1,MAX($A$1:A186)+1,""))</f>
        <v/>
      </c>
      <c r="B187" t="str">
        <f>IFERROR(INDEX(DonGia!$A:$A,MATCH(ROW()-1,$A$2:$A$201,0)+3),"")</f>
        <v/>
      </c>
      <c r="C187" t="str">
        <f>IF(TRIM(INDEX(VatLieu!$A:$A,189))="","",IF(COUNTIF(INDEX(VatLieu!$A:$A,4):INDEX(VatLieu!$A:$A,189),INDEX(VatLieu!$A:$A,189))=1,MAX($C$1:C186)+1,""))</f>
        <v/>
      </c>
      <c r="D187" t="str">
        <f>IFERROR(INDEX(VatLieu!$A:$A,MATCH(ROW()-1,$C$2:$C$201,0)+3),"")</f>
        <v/>
      </c>
      <c r="E187" t="str">
        <f>IF(TRIM(INDEX(CongDoan!$A:$A,189))="","",IF(COUNTIF(INDEX(CongDoan!$A:$A,4):INDEX(CongDoan!$A:$A,189),INDEX(CongDoan!$A:$A,189))=1,MAX($E$1:E186)+1,""))</f>
        <v/>
      </c>
      <c r="F187" t="str">
        <f>IFERROR(INDEX(CongDoan!$A:$A,MATCH(ROW()-1,$E$2:$E$197,0)+3),"")</f>
        <v/>
      </c>
    </row>
    <row r="188">
      <c r="A188" t="str">
        <f>IF(TRIM(INDEX(DonGia!$A:$A,190))="","",IF(COUNTIF(INDEX(DonGia!$A:$A,4):INDEX(DonGia!$A:$A,190),INDEX(DonGia!$A:$A,190))=1,MAX($A$1:A187)+1,""))</f>
        <v/>
      </c>
      <c r="B188" t="str">
        <f>IFERROR(INDEX(DonGia!$A:$A,MATCH(ROW()-1,$A$2:$A$201,0)+3),"")</f>
        <v/>
      </c>
      <c r="C188" t="str">
        <f>IF(TRIM(INDEX(VatLieu!$A:$A,190))="","",IF(COUNTIF(INDEX(VatLieu!$A:$A,4):INDEX(VatLieu!$A:$A,190),INDEX(VatLieu!$A:$A,190))=1,MAX($C$1:C187)+1,""))</f>
        <v/>
      </c>
      <c r="D188" t="str">
        <f>IFERROR(INDEX(VatLieu!$A:$A,MATCH(ROW()-1,$C$2:$C$201,0)+3),"")</f>
        <v/>
      </c>
      <c r="E188" t="str">
        <f>IF(TRIM(INDEX(CongDoan!$A:$A,190))="","",IF(COUNTIF(INDEX(CongDoan!$A:$A,4):INDEX(CongDoan!$A:$A,190),INDEX(CongDoan!$A:$A,190))=1,MAX($E$1:E187)+1,""))</f>
        <v/>
      </c>
      <c r="F188" t="str">
        <f>IFERROR(INDEX(CongDoan!$A:$A,MATCH(ROW()-1,$E$2:$E$197,0)+3),"")</f>
        <v/>
      </c>
    </row>
    <row r="189">
      <c r="A189" t="str">
        <f>IF(TRIM(INDEX(DonGia!$A:$A,191))="","",IF(COUNTIF(INDEX(DonGia!$A:$A,4):INDEX(DonGia!$A:$A,191),INDEX(DonGia!$A:$A,191))=1,MAX($A$1:A188)+1,""))</f>
        <v/>
      </c>
      <c r="B189" t="str">
        <f>IFERROR(INDEX(DonGia!$A:$A,MATCH(ROW()-1,$A$2:$A$201,0)+3),"")</f>
        <v/>
      </c>
      <c r="C189" t="str">
        <f>IF(TRIM(INDEX(VatLieu!$A:$A,191))="","",IF(COUNTIF(INDEX(VatLieu!$A:$A,4):INDEX(VatLieu!$A:$A,191),INDEX(VatLieu!$A:$A,191))=1,MAX($C$1:C188)+1,""))</f>
        <v/>
      </c>
      <c r="D189" t="str">
        <f>IFERROR(INDEX(VatLieu!$A:$A,MATCH(ROW()-1,$C$2:$C$201,0)+3),"")</f>
        <v/>
      </c>
      <c r="E189" t="str">
        <f>IF(TRIM(INDEX(CongDoan!$A:$A,191))="","",IF(COUNTIF(INDEX(CongDoan!$A:$A,4):INDEX(CongDoan!$A:$A,191),INDEX(CongDoan!$A:$A,191))=1,MAX($E$1:E188)+1,""))</f>
        <v/>
      </c>
      <c r="F189" t="str">
        <f>IFERROR(INDEX(CongDoan!$A:$A,MATCH(ROW()-1,$E$2:$E$197,0)+3),"")</f>
        <v/>
      </c>
    </row>
    <row r="190">
      <c r="A190" t="str">
        <f>IF(TRIM(INDEX(DonGia!$A:$A,192))="","",IF(COUNTIF(INDEX(DonGia!$A:$A,4):INDEX(DonGia!$A:$A,192),INDEX(DonGia!$A:$A,192))=1,MAX($A$1:A189)+1,""))</f>
        <v/>
      </c>
      <c r="B190" t="str">
        <f>IFERROR(INDEX(DonGia!$A:$A,MATCH(ROW()-1,$A$2:$A$201,0)+3),"")</f>
        <v/>
      </c>
      <c r="C190" t="str">
        <f>IF(TRIM(INDEX(VatLieu!$A:$A,192))="","",IF(COUNTIF(INDEX(VatLieu!$A:$A,4):INDEX(VatLieu!$A:$A,192),INDEX(VatLieu!$A:$A,192))=1,MAX($C$1:C189)+1,""))</f>
        <v/>
      </c>
      <c r="D190" t="str">
        <f>IFERROR(INDEX(VatLieu!$A:$A,MATCH(ROW()-1,$C$2:$C$201,0)+3),"")</f>
        <v/>
      </c>
      <c r="E190" t="str">
        <f>IF(TRIM(INDEX(CongDoan!$A:$A,192))="","",IF(COUNTIF(INDEX(CongDoan!$A:$A,4):INDEX(CongDoan!$A:$A,192),INDEX(CongDoan!$A:$A,192))=1,MAX($E$1:E189)+1,""))</f>
        <v/>
      </c>
      <c r="F190" t="str">
        <f>IFERROR(INDEX(CongDoan!$A:$A,MATCH(ROW()-1,$E$2:$E$197,0)+3),"")</f>
        <v/>
      </c>
    </row>
    <row r="191">
      <c r="A191" t="str">
        <f>IF(TRIM(INDEX(DonGia!$A:$A,193))="","",IF(COUNTIF(INDEX(DonGia!$A:$A,4):INDEX(DonGia!$A:$A,193),INDEX(DonGia!$A:$A,193))=1,MAX($A$1:A190)+1,""))</f>
        <v/>
      </c>
      <c r="B191" t="str">
        <f>IFERROR(INDEX(DonGia!$A:$A,MATCH(ROW()-1,$A$2:$A$201,0)+3),"")</f>
        <v/>
      </c>
      <c r="C191" t="str">
        <f>IF(TRIM(INDEX(VatLieu!$A:$A,193))="","",IF(COUNTIF(INDEX(VatLieu!$A:$A,4):INDEX(VatLieu!$A:$A,193),INDEX(VatLieu!$A:$A,193))=1,MAX($C$1:C190)+1,""))</f>
        <v/>
      </c>
      <c r="D191" t="str">
        <f>IFERROR(INDEX(VatLieu!$A:$A,MATCH(ROW()-1,$C$2:$C$201,0)+3),"")</f>
        <v/>
      </c>
      <c r="E191" t="str">
        <f>IF(TRIM(INDEX(CongDoan!$A:$A,193))="","",IF(COUNTIF(INDEX(CongDoan!$A:$A,4):INDEX(CongDoan!$A:$A,193),INDEX(CongDoan!$A:$A,193))=1,MAX($E$1:E190)+1,""))</f>
        <v/>
      </c>
      <c r="F191" t="str">
        <f>IFERROR(INDEX(CongDoan!$A:$A,MATCH(ROW()-1,$E$2:$E$197,0)+3),"")</f>
        <v/>
      </c>
    </row>
    <row r="192">
      <c r="A192" t="str">
        <f>IF(TRIM(INDEX(DonGia!$A:$A,194))="","",IF(COUNTIF(INDEX(DonGia!$A:$A,4):INDEX(DonGia!$A:$A,194),INDEX(DonGia!$A:$A,194))=1,MAX($A$1:A191)+1,""))</f>
        <v/>
      </c>
      <c r="B192" t="str">
        <f>IFERROR(INDEX(DonGia!$A:$A,MATCH(ROW()-1,$A$2:$A$201,0)+3),"")</f>
        <v/>
      </c>
      <c r="C192" t="str">
        <f>IF(TRIM(INDEX(VatLieu!$A:$A,194))="","",IF(COUNTIF(INDEX(VatLieu!$A:$A,4):INDEX(VatLieu!$A:$A,194),INDEX(VatLieu!$A:$A,194))=1,MAX($C$1:C191)+1,""))</f>
        <v/>
      </c>
      <c r="D192" t="str">
        <f>IFERROR(INDEX(VatLieu!$A:$A,MATCH(ROW()-1,$C$2:$C$201,0)+3),"")</f>
        <v/>
      </c>
      <c r="E192" t="str">
        <f>IF(TRIM(INDEX(CongDoan!$A:$A,194))="","",IF(COUNTIF(INDEX(CongDoan!$A:$A,4):INDEX(CongDoan!$A:$A,194),INDEX(CongDoan!$A:$A,194))=1,MAX($E$1:E191)+1,""))</f>
        <v/>
      </c>
      <c r="F192" t="str">
        <f>IFERROR(INDEX(CongDoan!$A:$A,MATCH(ROW()-1,$E$2:$E$197,0)+3),"")</f>
        <v/>
      </c>
    </row>
    <row r="193">
      <c r="A193" t="str">
        <f>IF(TRIM(INDEX(DonGia!$A:$A,195))="","",IF(COUNTIF(INDEX(DonGia!$A:$A,4):INDEX(DonGia!$A:$A,195),INDEX(DonGia!$A:$A,195))=1,MAX($A$1:A192)+1,""))</f>
        <v/>
      </c>
      <c r="B193" t="str">
        <f>IFERROR(INDEX(DonGia!$A:$A,MATCH(ROW()-1,$A$2:$A$201,0)+3),"")</f>
        <v/>
      </c>
      <c r="C193" t="str">
        <f>IF(TRIM(INDEX(VatLieu!$A:$A,195))="","",IF(COUNTIF(INDEX(VatLieu!$A:$A,4):INDEX(VatLieu!$A:$A,195),INDEX(VatLieu!$A:$A,195))=1,MAX($C$1:C192)+1,""))</f>
        <v/>
      </c>
      <c r="D193" t="str">
        <f>IFERROR(INDEX(VatLieu!$A:$A,MATCH(ROW()-1,$C$2:$C$201,0)+3),"")</f>
        <v/>
      </c>
      <c r="E193" t="str">
        <f>IF(TRIM(INDEX(CongDoan!$A:$A,195))="","",IF(COUNTIF(INDEX(CongDoan!$A:$A,4):INDEX(CongDoan!$A:$A,195),INDEX(CongDoan!$A:$A,195))=1,MAX($E$1:E192)+1,""))</f>
        <v/>
      </c>
      <c r="F193" t="str">
        <f>IFERROR(INDEX(CongDoan!$A:$A,MATCH(ROW()-1,$E$2:$E$197,0)+3),"")</f>
        <v/>
      </c>
    </row>
    <row r="194">
      <c r="A194" t="str">
        <f>IF(TRIM(INDEX(DonGia!$A:$A,196))="","",IF(COUNTIF(INDEX(DonGia!$A:$A,4):INDEX(DonGia!$A:$A,196),INDEX(DonGia!$A:$A,196))=1,MAX($A$1:A193)+1,""))</f>
        <v/>
      </c>
      <c r="B194" t="str">
        <f>IFERROR(INDEX(DonGia!$A:$A,MATCH(ROW()-1,$A$2:$A$201,0)+3),"")</f>
        <v/>
      </c>
      <c r="C194" t="str">
        <f>IF(TRIM(INDEX(VatLieu!$A:$A,196))="","",IF(COUNTIF(INDEX(VatLieu!$A:$A,4):INDEX(VatLieu!$A:$A,196),INDEX(VatLieu!$A:$A,196))=1,MAX($C$1:C193)+1,""))</f>
        <v/>
      </c>
      <c r="D194" t="str">
        <f>IFERROR(INDEX(VatLieu!$A:$A,MATCH(ROW()-1,$C$2:$C$201,0)+3),"")</f>
        <v/>
      </c>
      <c r="E194" t="str">
        <f>IF(TRIM(INDEX(CongDoan!$A:$A,196))="","",IF(COUNTIF(INDEX(CongDoan!$A:$A,4):INDEX(CongDoan!$A:$A,196),INDEX(CongDoan!$A:$A,196))=1,MAX($E$1:E193)+1,""))</f>
        <v/>
      </c>
      <c r="F194" t="str">
        <f>IFERROR(INDEX(CongDoan!$A:$A,MATCH(ROW()-1,$E$2:$E$197,0)+3),"")</f>
        <v/>
      </c>
    </row>
    <row r="195">
      <c r="A195" t="str">
        <f>IF(TRIM(INDEX(DonGia!$A:$A,197))="","",IF(COUNTIF(INDEX(DonGia!$A:$A,4):INDEX(DonGia!$A:$A,197),INDEX(DonGia!$A:$A,197))=1,MAX($A$1:A194)+1,""))</f>
        <v/>
      </c>
      <c r="B195" t="str">
        <f>IFERROR(INDEX(DonGia!$A:$A,MATCH(ROW()-1,$A$2:$A$201,0)+3),"")</f>
        <v/>
      </c>
      <c r="C195" t="str">
        <f>IF(TRIM(INDEX(VatLieu!$A:$A,197))="","",IF(COUNTIF(INDEX(VatLieu!$A:$A,4):INDEX(VatLieu!$A:$A,197),INDEX(VatLieu!$A:$A,197))=1,MAX($C$1:C194)+1,""))</f>
        <v/>
      </c>
      <c r="D195" t="str">
        <f>IFERROR(INDEX(VatLieu!$A:$A,MATCH(ROW()-1,$C$2:$C$201,0)+3),"")</f>
        <v/>
      </c>
      <c r="E195" t="str">
        <f>IF(TRIM(INDEX(CongDoan!$A:$A,197))="","",IF(COUNTIF(INDEX(CongDoan!$A:$A,4):INDEX(CongDoan!$A:$A,197),INDEX(CongDoan!$A:$A,197))=1,MAX($E$1:E194)+1,""))</f>
        <v/>
      </c>
      <c r="F195" t="str">
        <f>IFERROR(INDEX(CongDoan!$A:$A,MATCH(ROW()-1,$E$2:$E$197,0)+3),"")</f>
        <v/>
      </c>
    </row>
    <row r="196">
      <c r="A196" t="str">
        <f>IF(TRIM(INDEX(DonGia!$A:$A,198))="","",IF(COUNTIF(INDEX(DonGia!$A:$A,4):INDEX(DonGia!$A:$A,198),INDEX(DonGia!$A:$A,198))=1,MAX($A$1:A195)+1,""))</f>
        <v/>
      </c>
      <c r="B196" t="str">
        <f>IFERROR(INDEX(DonGia!$A:$A,MATCH(ROW()-1,$A$2:$A$201,0)+3),"")</f>
        <v/>
      </c>
      <c r="C196" t="str">
        <f>IF(TRIM(INDEX(VatLieu!$A:$A,198))="","",IF(COUNTIF(INDEX(VatLieu!$A:$A,4):INDEX(VatLieu!$A:$A,198),INDEX(VatLieu!$A:$A,198))=1,MAX($C$1:C195)+1,""))</f>
        <v/>
      </c>
      <c r="D196" t="str">
        <f>IFERROR(INDEX(VatLieu!$A:$A,MATCH(ROW()-1,$C$2:$C$201,0)+3),"")</f>
        <v/>
      </c>
      <c r="E196" t="str">
        <f>IF(TRIM(INDEX(CongDoan!$A:$A,198))="","",IF(COUNTIF(INDEX(CongDoan!$A:$A,4):INDEX(CongDoan!$A:$A,198),INDEX(CongDoan!$A:$A,198))=1,MAX($E$1:E195)+1,""))</f>
        <v/>
      </c>
      <c r="F196" t="str">
        <f>IFERROR(INDEX(CongDoan!$A:$A,MATCH(ROW()-1,$E$2:$E$197,0)+3),"")</f>
        <v/>
      </c>
    </row>
    <row r="197">
      <c r="A197" t="str">
        <f>IF(TRIM(INDEX(DonGia!$A:$A,199))="","",IF(COUNTIF(INDEX(DonGia!$A:$A,4):INDEX(DonGia!$A:$A,199),INDEX(DonGia!$A:$A,199))=1,MAX($A$1:A196)+1,""))</f>
        <v/>
      </c>
      <c r="B197" t="str">
        <f>IFERROR(INDEX(DonGia!$A:$A,MATCH(ROW()-1,$A$2:$A$201,0)+3),"")</f>
        <v/>
      </c>
      <c r="C197" t="str">
        <f>IF(TRIM(INDEX(VatLieu!$A:$A,199))="","",IF(COUNTIF(INDEX(VatLieu!$A:$A,4):INDEX(VatLieu!$A:$A,199),INDEX(VatLieu!$A:$A,199))=1,MAX($C$1:C196)+1,""))</f>
        <v/>
      </c>
      <c r="D197" t="str">
        <f>IFERROR(INDEX(VatLieu!$A:$A,MATCH(ROW()-1,$C$2:$C$201,0)+3),"")</f>
        <v/>
      </c>
      <c r="E197" t="str">
        <f>IF(TRIM(INDEX(CongDoan!$A:$A,199))="","",IF(COUNTIF(INDEX(CongDoan!$A:$A,4):INDEX(CongDoan!$A:$A,199),INDEX(CongDoan!$A:$A,199))=1,MAX($E$1:E196)+1,""))</f>
        <v/>
      </c>
      <c r="F197" t="str">
        <f>IFERROR(INDEX(CongDoan!$A:$A,MATCH(ROW()-1,$E$2:$E$197,0)+3),"")</f>
        <v/>
      </c>
    </row>
    <row r="198">
      <c r="A198" t="str">
        <f>IF(TRIM(INDEX(DonGia!$A:$A,200))="","",IF(COUNTIF(INDEX(DonGia!$A:$A,4):INDEX(DonGia!$A:$A,200),INDEX(DonGia!$A:$A,200))=1,MAX($A$1:A197)+1,""))</f>
        <v/>
      </c>
      <c r="B198" t="str">
        <f>IFERROR(INDEX(DonGia!$A:$A,MATCH(ROW()-1,$A$2:$A$201,0)+3),"")</f>
        <v/>
      </c>
      <c r="C198" t="str">
        <f>IF(TRIM(INDEX(VatLieu!$A:$A,200))="","",IF(COUNTIF(INDEX(VatLieu!$A:$A,4):INDEX(VatLieu!$A:$A,200),INDEX(VatLieu!$A:$A,200))=1,MAX($C$1:C197)+1,""))</f>
        <v/>
      </c>
      <c r="D198" t="str">
        <f>IFERROR(INDEX(VatLieu!$A:$A,MATCH(ROW()-1,$C$2:$C$201,0)+3),"")</f>
        <v/>
      </c>
    </row>
    <row r="199">
      <c r="A199" t="str">
        <f>IF(TRIM(INDEX(DonGia!$A:$A,201))="","",IF(COUNTIF(INDEX(DonGia!$A:$A,4):INDEX(DonGia!$A:$A,201),INDEX(DonGia!$A:$A,201))=1,MAX($A$1:A198)+1,""))</f>
        <v/>
      </c>
      <c r="B199" t="str">
        <f>IFERROR(INDEX(DonGia!$A:$A,MATCH(ROW()-1,$A$2:$A$201,0)+3),"")</f>
        <v/>
      </c>
      <c r="C199" t="str">
        <f>IF(TRIM(INDEX(VatLieu!$A:$A,201))="","",IF(COUNTIF(INDEX(VatLieu!$A:$A,4):INDEX(VatLieu!$A:$A,201),INDEX(VatLieu!$A:$A,201))=1,MAX($C$1:C198)+1,""))</f>
        <v/>
      </c>
      <c r="D199" t="str">
        <f>IFERROR(INDEX(VatLieu!$A:$A,MATCH(ROW()-1,$C$2:$C$201,0)+3),"")</f>
        <v/>
      </c>
    </row>
    <row r="200">
      <c r="A200" t="str">
        <f>IF(TRIM(INDEX(DonGia!$A:$A,202))="","",IF(COUNTIF(INDEX(DonGia!$A:$A,4):INDEX(DonGia!$A:$A,202),INDEX(DonGia!$A:$A,202))=1,MAX($A$1:A199)+1,""))</f>
        <v/>
      </c>
      <c r="B200" t="str">
        <f>IFERROR(INDEX(DonGia!$A:$A,MATCH(ROW()-1,$A$2:$A$201,0)+3),"")</f>
        <v/>
      </c>
      <c r="C200" t="str">
        <f>IF(TRIM(INDEX(VatLieu!$A:$A,202))="","",IF(COUNTIF(INDEX(VatLieu!$A:$A,4):INDEX(VatLieu!$A:$A,202),INDEX(VatLieu!$A:$A,202))=1,MAX($C$1:C199)+1,""))</f>
        <v/>
      </c>
      <c r="D200" t="str">
        <f>IFERROR(INDEX(VatLieu!$A:$A,MATCH(ROW()-1,$C$2:$C$201,0)+3),"")</f>
        <v/>
      </c>
    </row>
    <row r="201">
      <c r="A201" t="str">
        <f>IF(TRIM(INDEX(DonGia!$A:$A,203))="","",IF(COUNTIF(INDEX(DonGia!$A:$A,4):INDEX(DonGia!$A:$A,203),INDEX(DonGia!$A:$A,203))=1,MAX($A$1:A200)+1,""))</f>
        <v/>
      </c>
      <c r="B201" t="str">
        <f>IFERROR(INDEX(DonGia!$A:$A,MATCH(ROW()-1,$A$2:$A$201,0)+3),"")</f>
        <v/>
      </c>
      <c r="C201" t="str">
        <f>IF(TRIM(INDEX(VatLieu!$A:$A,203))="","",IF(COUNTIF(INDEX(VatLieu!$A:$A,4):INDEX(VatLieu!$A:$A,203),INDEX(VatLieu!$A:$A,203))=1,MAX($C$1:C200)+1,""))</f>
        <v/>
      </c>
      <c r="D201" t="str">
        <f>IFERROR(INDEX(VatLieu!$A:$A,MATCH(ROW()-1,$C$2:$C$201,0)+3),"")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2026-10-19T03:42:00Z</dcterms:created>
  <dcterms:modified xmlns:dcterms="http://purl.org/dc/terms/" xmlns:xsi="http://www.w3.org/2001/XMLSchema-instance" xsi:type="dcterms:W3CDTF">2026-10-19T08:18:35Z</dcterms:modified>
  <cp:lastModifiedBy>Nhat Thanh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6226B99C60794C77ABF59E07C43356B3_12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